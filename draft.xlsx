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963" tabRatio="600" firstSheet="0" activeTab="0" autoFilterDateGrouping="1"/>
  </bookViews>
  <sheets>
    <sheet name="总计" sheetId="1" state="visible" r:id="rId1"/>
    <sheet name="41pink" sheetId="2" state="visible" r:id="rId2"/>
    <sheet name="ZR-NXXV-8Y99" sheetId="3" state="visible" r:id="rId3"/>
    <sheet name="161 c2" sheetId="4" state="visible" r:id="rId4"/>
    <sheet name="41gray" sheetId="5" state="visible" r:id="rId5"/>
    <sheet name="3043 Yellow" sheetId="6" state="visible" r:id="rId6"/>
    <sheet name="3043-Yellow-Green" sheetId="7" state="visible" r:id="rId7"/>
    <sheet name="161-c1" sheetId="8" state="visible" r:id="rId8"/>
    <sheet name="3099 Yellow" sheetId="9" state="visible" r:id="rId9"/>
    <sheet name="161 c6" sheetId="10" state="visible" r:id="rId10"/>
    <sheet name="168-c2" sheetId="11" state="visible" r:id="rId11"/>
    <sheet name="168-c6" sheetId="12" state="visible" r:id="rId12"/>
    <sheet name="155 pink" sheetId="13" state="visible" r:id="rId13"/>
    <sheet name="Glass Cutter-3" sheetId="14" state="visible" r:id="rId14"/>
    <sheet name="155 tortoise" sheetId="15" state="visible" r:id="rId15"/>
    <sheet name="156 tortoise" sheetId="16" state="visible" r:id="rId16"/>
    <sheet name="3098 Yellow" sheetId="17" state="visible" r:id="rId17"/>
    <sheet name="158-c2" sheetId="18" state="visible" r:id="rId18"/>
    <sheet name="HG-271R-QWAB" sheetId="19" state="visible" r:id="rId19"/>
    <sheet name="156 pink" sheetId="20" state="visible" r:id="rId20"/>
    <sheet name="162-c1" sheetId="21" state="visible" r:id="rId21"/>
    <sheet name="C6-6LPA-MZ76" sheetId="22" state="visible" r:id="rId22"/>
    <sheet name="616 G" sheetId="23" state="visible" r:id="rId23"/>
    <sheet name="high contrast-blue" sheetId="24" state="visible" r:id="rId24"/>
    <sheet name="167-c1" sheetId="25" state="visible" r:id="rId25"/>
    <sheet name="9G-1B82-PV7E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  <font>
      <b val="1"/>
      <color rgb="00000000"/>
      <sz val="14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 style="thin"/>
      <right style="thin">
        <color auto="1"/>
      </right>
      <top style="thin"/>
      <bottom style="thin">
        <color auto="1"/>
      </bottom>
    </border>
    <border>
      <left/>
      <right/>
      <top style="thin"/>
      <bottom/>
      <diagonal/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2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25" fillId="0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4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4" pivotButton="0" quotePrefix="0" xfId="0"/>
    <xf numFmtId="0" fontId="24" fillId="0" borderId="0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tabSelected="1" workbookViewId="0">
      <selection activeCell="A1" sqref="A1"/>
    </sheetView>
  </sheetViews>
  <sheetFormatPr baseColWidth="8" defaultColWidth="9" defaultRowHeight="12.9"/>
  <cols>
    <col width="25" customWidth="1" min="1" max="1"/>
    <col width="8" customWidth="1" min="13" max="13"/>
    <col width="5" customWidth="1" min="14" max="14"/>
    <col width="6" customWidth="1" min="15" max="17"/>
    <col width="6" customWidth="1" min="16" max="16"/>
    <col width="6" customWidth="1" min="17" max="17"/>
    <col width="20" customWidth="1" min="21" max="21"/>
  </cols>
  <sheetData>
    <row r="1">
      <c r="A1" s="2" t="inlineStr">
        <is>
          <t>SKU</t>
        </is>
      </c>
      <c r="B1" s="2" t="inlineStr">
        <is>
          <t>Sessions</t>
        </is>
      </c>
      <c r="C1" s="2" t="inlineStr">
        <is>
          <t>Page Views</t>
        </is>
      </c>
      <c r="D1" s="2" t="inlineStr">
        <is>
          <t>Units Ordered</t>
        </is>
      </c>
      <c r="E1" s="2" t="inlineStr">
        <is>
          <t>Unit Session Percentage(%)</t>
        </is>
      </c>
      <c r="F1" s="2" t="inlineStr">
        <is>
          <t>Ordered Product Sales(对应国家货币单位)</t>
        </is>
      </c>
      <c r="G1" s="2" t="inlineStr">
        <is>
          <t>Total-acos(%)</t>
        </is>
      </c>
      <c r="H1" s="2" t="inlineStr">
        <is>
          <t>AD-Total-Spend(计算国货币单位)</t>
        </is>
      </c>
      <c r="I1" s="2" t="inlineStr">
        <is>
          <t>AD-Total-Sale(计算国货币单位)</t>
        </is>
      </c>
      <c r="J1" s="2" t="inlineStr">
        <is>
          <t>广告销售占比(%)</t>
        </is>
      </c>
      <c r="K1" s="13" t="inlineStr">
        <is>
          <t>AD-ACOS(%)</t>
        </is>
      </c>
    </row>
    <row r="2">
      <c r="A2" s="14" t="inlineStr">
        <is>
          <t>ZR-NXXV-8Y99</t>
        </is>
      </c>
      <c r="B2" s="14" t="n">
        <v>587</v>
      </c>
      <c r="C2" s="14" t="n">
        <v>853</v>
      </c>
      <c r="D2" s="14" t="n">
        <v>77</v>
      </c>
      <c r="E2" s="14" t="n">
        <v>13.12</v>
      </c>
      <c r="F2" s="14" t="n">
        <v>1538.44</v>
      </c>
      <c r="G2" s="14" t="n">
        <v>1.72</v>
      </c>
      <c r="H2" s="14" t="n">
        <v>26.45</v>
      </c>
      <c r="I2" s="14" t="n">
        <v>119.88</v>
      </c>
      <c r="J2" s="14" t="n">
        <v>7.79</v>
      </c>
      <c r="K2" s="15" t="n">
        <v>22.06</v>
      </c>
    </row>
    <row r="3" ht="18.3" customHeight="1">
      <c r="A3" s="14" t="inlineStr">
        <is>
          <t>41pink</t>
        </is>
      </c>
      <c r="B3" s="14" t="n">
        <v>616</v>
      </c>
      <c r="C3" s="14" t="n">
        <v>1105</v>
      </c>
      <c r="D3" s="14" t="n">
        <v>47</v>
      </c>
      <c r="E3" s="14" t="n">
        <v>7.63</v>
      </c>
      <c r="F3" s="14" t="n">
        <v>2819.06</v>
      </c>
      <c r="G3" s="14" t="n">
        <v>1.46</v>
      </c>
      <c r="H3" s="14" t="n">
        <v>41.14</v>
      </c>
      <c r="I3" s="14" t="n">
        <v>455.85</v>
      </c>
      <c r="J3" s="14" t="n">
        <v>16.17</v>
      </c>
      <c r="K3" s="15" t="n">
        <v>9.02</v>
      </c>
      <c r="M3" s="16" t="inlineStr">
        <is>
          <t>销量分析（订单数量&gt;14的SKU）</t>
        </is>
      </c>
      <c r="N3" s="17" t="n"/>
      <c r="O3" s="17" t="n"/>
      <c r="P3" s="17" t="n"/>
      <c r="Q3" s="18" t="n"/>
      <c r="U3" s="16" t="inlineStr">
        <is>
          <t>店铺综合分析</t>
        </is>
      </c>
      <c r="V3" s="17" t="n"/>
      <c r="W3" s="17" t="n"/>
      <c r="X3" s="17" t="n"/>
      <c r="Y3" s="18" t="n"/>
    </row>
    <row r="4">
      <c r="A4" s="14" t="inlineStr">
        <is>
          <t>3043 Yellow</t>
        </is>
      </c>
      <c r="B4" s="14" t="n">
        <v>185</v>
      </c>
      <c r="C4" s="14" t="n">
        <v>286</v>
      </c>
      <c r="D4" s="14" t="n">
        <v>34</v>
      </c>
      <c r="E4" s="14" t="n">
        <v>18.38</v>
      </c>
      <c r="F4" s="14" t="n">
        <v>883.66</v>
      </c>
      <c r="G4" s="14" t="n">
        <v>0.53</v>
      </c>
      <c r="H4" s="14" t="n">
        <v>4.65</v>
      </c>
      <c r="I4" s="14" t="n">
        <v>0</v>
      </c>
      <c r="J4" s="14" t="n">
        <v>0</v>
      </c>
      <c r="K4" s="14" t="n"/>
      <c r="M4" s="19" t="inlineStr">
        <is>
          <t>排名</t>
        </is>
      </c>
      <c r="N4" s="19" t="inlineStr">
        <is>
          <t>SKU</t>
        </is>
      </c>
      <c r="O4" s="19" t="inlineStr">
        <is>
          <t>上周销量</t>
        </is>
      </c>
      <c r="P4" s="19" t="inlineStr">
        <is>
          <t>本周销量</t>
        </is>
      </c>
      <c r="Q4" s="19" t="inlineStr">
        <is>
          <t>环比增长</t>
        </is>
      </c>
      <c r="U4" s="19" t="inlineStr"/>
      <c r="V4" s="19" t="inlineStr">
        <is>
          <t>上周</t>
        </is>
      </c>
      <c r="W4" s="19" t="inlineStr">
        <is>
          <t>本周</t>
        </is>
      </c>
      <c r="X4" s="19" t="inlineStr">
        <is>
          <t>差额</t>
        </is>
      </c>
      <c r="Y4" s="19" t="inlineStr">
        <is>
          <t>环比变化</t>
        </is>
      </c>
    </row>
    <row r="5">
      <c r="A5" s="14" t="inlineStr">
        <is>
          <t>161 c2</t>
        </is>
      </c>
      <c r="B5" s="14" t="n">
        <v>249</v>
      </c>
      <c r="C5" s="14" t="n">
        <v>343</v>
      </c>
      <c r="D5" s="14" t="n">
        <v>32</v>
      </c>
      <c r="E5" s="14" t="n">
        <v>12.85</v>
      </c>
      <c r="F5" s="14" t="n">
        <v>1471.68</v>
      </c>
      <c r="G5" s="14" t="n">
        <v>0</v>
      </c>
      <c r="H5" s="14" t="n">
        <v>0</v>
      </c>
      <c r="I5" s="14" t="n">
        <v>0</v>
      </c>
      <c r="J5" s="14" t="n">
        <v>0</v>
      </c>
      <c r="K5" s="14" t="n"/>
      <c r="U5" s="19" t="inlineStr">
        <is>
          <t>销售额</t>
        </is>
      </c>
      <c r="V5" s="20" t="n">
        <v>2572.79</v>
      </c>
      <c r="W5" s="20" t="n">
        <v>3076.48</v>
      </c>
      <c r="X5" s="20">
        <f>W5-V5</f>
        <v/>
      </c>
      <c r="Y5" s="20">
        <f>IF(V5=0,"0%",IF((W5-V5)/V5&gt;0,"+" &amp; TEXT((W5-V5)/V5,"0.00%"),TEXT((W5-V5)/V5,"0.00%")))</f>
        <v/>
      </c>
    </row>
    <row r="6">
      <c r="A6" s="14" t="inlineStr">
        <is>
          <t>3043-Yellow-Green</t>
        </is>
      </c>
      <c r="B6" s="14" t="n">
        <v>256</v>
      </c>
      <c r="C6" s="14" t="n">
        <v>396</v>
      </c>
      <c r="D6" s="14" t="n">
        <v>28</v>
      </c>
      <c r="E6" s="14" t="n">
        <v>10.94</v>
      </c>
      <c r="F6" s="14" t="n">
        <v>727.72</v>
      </c>
      <c r="G6" s="14" t="n">
        <v>0</v>
      </c>
      <c r="H6" s="14" t="n">
        <v>0</v>
      </c>
      <c r="I6" s="14" t="n">
        <v>0</v>
      </c>
      <c r="J6" s="14" t="n">
        <v>0</v>
      </c>
      <c r="K6" s="14" t="n"/>
      <c r="U6" s="19" t="inlineStr">
        <is>
          <t>订单数</t>
        </is>
      </c>
      <c r="V6" s="20" t="n">
        <v>76</v>
      </c>
      <c r="W6" s="20" t="n">
        <v>84</v>
      </c>
      <c r="X6" s="20">
        <f>W6-V6</f>
        <v/>
      </c>
      <c r="Y6" s="20">
        <f>IF(V6=0,"0%",IF((W6-V6)/V6&gt;0,"+" &amp; TEXT((W6-V6)/V6,"0.00%"),TEXT((W6-V6)/V6,"0.00%")))</f>
        <v/>
      </c>
    </row>
    <row r="7">
      <c r="A7" s="14" t="inlineStr">
        <is>
          <t>Glass Cutter-3</t>
        </is>
      </c>
      <c r="B7" s="14" t="n">
        <v>121</v>
      </c>
      <c r="C7" s="14" t="n">
        <v>167</v>
      </c>
      <c r="D7" s="14" t="n">
        <v>24</v>
      </c>
      <c r="E7" s="14" t="n">
        <v>19.83</v>
      </c>
      <c r="F7" s="14" t="n">
        <v>335.74</v>
      </c>
      <c r="G7" s="14" t="n">
        <v>0</v>
      </c>
      <c r="H7" s="14" t="n">
        <v>0</v>
      </c>
      <c r="I7" s="14" t="n">
        <v>0</v>
      </c>
      <c r="J7" s="14" t="n">
        <v>0</v>
      </c>
      <c r="K7" s="14" t="n"/>
      <c r="U7" s="19" t="inlineStr">
        <is>
          <t>店铺综合ACOS</t>
        </is>
      </c>
      <c r="V7" s="20" t="inlineStr">
        <is>
          <t>1.63%</t>
        </is>
      </c>
      <c r="W7" s="20" t="inlineStr">
        <is>
          <t>3.29%</t>
        </is>
      </c>
      <c r="X7" s="20">
        <f>IF(V7="0.00%","0%",IF((VALUE(W7)-VALUE(V7))&gt;0,"+" &amp; TEXT(VALUE(W7)-VALUE(V7),"0.00%"),TEXT(VALUE(W7)-VALUE(V7),"0.00%")))</f>
        <v/>
      </c>
      <c r="Y7" s="20">
        <f>IF(V7="0.00%","0%",IF((VALUE(W7)-VALUE(V7))/IF(VALUE(V7)=0,1,VALUE(V7))&gt;0,"+" &amp; TEXT((VALUE(W7)-VALUE(V7))/IF(VALUE(V7)=0,1,VALUE(V7)),"0.00%"),TEXT((VALUE(W7)-VALUE(V7))/IF(VALUE(V7)=0,1,VALUE(V7)),"0.00%")))</f>
        <v/>
      </c>
    </row>
    <row r="8">
      <c r="A8" s="14" t="inlineStr">
        <is>
          <t>3099 Yellow</t>
        </is>
      </c>
      <c r="B8" s="14" t="n">
        <v>113</v>
      </c>
      <c r="C8" s="14" t="n">
        <v>175</v>
      </c>
      <c r="D8" s="14" t="n">
        <v>23</v>
      </c>
      <c r="E8" s="14" t="n">
        <v>20.35</v>
      </c>
      <c r="F8" s="14" t="n">
        <v>597.54</v>
      </c>
      <c r="G8" s="14" t="n">
        <v>0.35</v>
      </c>
      <c r="H8" s="14" t="n">
        <v>2.09</v>
      </c>
      <c r="I8" s="14" t="n">
        <v>77.94</v>
      </c>
      <c r="J8" s="14" t="n">
        <v>13.04</v>
      </c>
      <c r="K8" s="15" t="n">
        <v>2.68</v>
      </c>
    </row>
    <row r="9">
      <c r="A9" s="14" t="inlineStr">
        <is>
          <t>41gray</t>
        </is>
      </c>
      <c r="B9" s="14" t="n">
        <v>305</v>
      </c>
      <c r="C9" s="14" t="n">
        <v>492</v>
      </c>
      <c r="D9" s="14" t="n">
        <v>19</v>
      </c>
      <c r="E9" s="14" t="n">
        <v>6.23</v>
      </c>
      <c r="F9" s="14" t="n">
        <v>1139.62</v>
      </c>
      <c r="G9" s="14" t="n">
        <v>2.53</v>
      </c>
      <c r="H9" s="14" t="n">
        <v>28.87</v>
      </c>
      <c r="I9" s="14" t="n">
        <v>179.94</v>
      </c>
      <c r="J9" s="14" t="n">
        <v>15.79</v>
      </c>
      <c r="K9" s="15" t="n">
        <v>16.04</v>
      </c>
    </row>
    <row r="10">
      <c r="A10" s="14" t="inlineStr">
        <is>
          <t>168-c2</t>
        </is>
      </c>
      <c r="B10" s="14" t="n">
        <v>56</v>
      </c>
      <c r="C10" s="14" t="n">
        <v>81</v>
      </c>
      <c r="D10" s="14" t="n">
        <v>14</v>
      </c>
      <c r="E10" s="14" t="n">
        <v>25</v>
      </c>
      <c r="F10" s="14" t="n">
        <v>503.86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/>
    </row>
    <row r="11">
      <c r="A11" s="14" t="inlineStr">
        <is>
          <t>161-c1</t>
        </is>
      </c>
      <c r="B11" s="14" t="n">
        <v>383</v>
      </c>
      <c r="C11" s="14" t="n">
        <v>586</v>
      </c>
      <c r="D11" s="14" t="n">
        <v>13</v>
      </c>
      <c r="E11" s="14" t="n">
        <v>3.39</v>
      </c>
      <c r="F11" s="14" t="n">
        <v>597.87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/>
    </row>
    <row r="12" ht="18.3" customHeight="1">
      <c r="A12" s="14" t="inlineStr">
        <is>
          <t>168-c6</t>
        </is>
      </c>
      <c r="B12" s="14" t="n">
        <v>86</v>
      </c>
      <c r="C12" s="14" t="n">
        <v>113</v>
      </c>
      <c r="D12" s="14" t="n">
        <v>13</v>
      </c>
      <c r="E12" s="14" t="n">
        <v>15.12</v>
      </c>
      <c r="F12" s="14" t="n">
        <v>467.85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/>
      <c r="M12" s="16" t="inlineStr">
        <is>
          <t>转化率分析（订单数量&gt;14的SKU）</t>
        </is>
      </c>
      <c r="N12" s="17" t="n"/>
      <c r="O12" s="17" t="n"/>
      <c r="P12" s="17" t="n"/>
      <c r="Q12" s="18" t="n"/>
      <c r="U12" s="21" t="inlineStr">
        <is>
          <t>7天订单数量&gt;10，转化率&gt;10%，且综合ACOS&lt;5%的SKU</t>
        </is>
      </c>
      <c r="V12" s="22" t="n"/>
      <c r="W12" s="22" t="n"/>
      <c r="X12" s="22" t="n"/>
      <c r="Y12" s="22" t="n"/>
      <c r="Z12" s="22" t="n"/>
      <c r="AA12" s="23" t="n"/>
    </row>
    <row r="13">
      <c r="A13" s="14" t="inlineStr">
        <is>
          <t>161 c6</t>
        </is>
      </c>
      <c r="B13" s="14" t="n">
        <v>104</v>
      </c>
      <c r="C13" s="14" t="n">
        <v>133</v>
      </c>
      <c r="D13" s="14" t="n">
        <v>11</v>
      </c>
      <c r="E13" s="14" t="n">
        <v>10.58</v>
      </c>
      <c r="F13" s="14" t="n">
        <v>505.89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/>
      <c r="M13" s="19" t="inlineStr">
        <is>
          <t>排名</t>
        </is>
      </c>
      <c r="N13" s="19" t="inlineStr">
        <is>
          <t>SKU</t>
        </is>
      </c>
      <c r="O13" s="19" t="inlineStr">
        <is>
          <t>上周转化率</t>
        </is>
      </c>
      <c r="P13" s="19" t="inlineStr">
        <is>
          <t>本周转化率</t>
        </is>
      </c>
      <c r="Q13" s="19" t="inlineStr">
        <is>
          <t>环比增长</t>
        </is>
      </c>
      <c r="U13" s="19" t="inlineStr">
        <is>
          <t>SKU</t>
        </is>
      </c>
      <c r="V13" s="19" t="inlineStr">
        <is>
          <t>订单量</t>
        </is>
      </c>
      <c r="W13" s="19" t="inlineStr">
        <is>
          <t>点击量</t>
        </is>
      </c>
      <c r="X13" s="19" t="inlineStr">
        <is>
          <t>转化率</t>
        </is>
      </c>
      <c r="Y13" s="19" t="inlineStr">
        <is>
          <t>ACOS</t>
        </is>
      </c>
      <c r="Z13" s="19" t="inlineStr">
        <is>
          <t>广告花费</t>
        </is>
      </c>
      <c r="AA13" s="19" t="inlineStr">
        <is>
          <t>销售额</t>
        </is>
      </c>
    </row>
    <row r="14">
      <c r="A14" s="14" t="inlineStr">
        <is>
          <t>155 pink</t>
        </is>
      </c>
      <c r="B14" s="14" t="n">
        <v>38</v>
      </c>
      <c r="C14" s="14" t="n">
        <v>71</v>
      </c>
      <c r="D14" s="14" t="n">
        <v>11</v>
      </c>
      <c r="E14" s="14" t="n">
        <v>28.95</v>
      </c>
      <c r="F14" s="14" t="n">
        <v>439.86</v>
      </c>
      <c r="G14" s="14" t="n">
        <v>0.15</v>
      </c>
      <c r="H14" s="14" t="n">
        <v>0.66</v>
      </c>
      <c r="I14" s="14" t="n">
        <v>39.99</v>
      </c>
      <c r="J14" s="14" t="n">
        <v>9.09</v>
      </c>
      <c r="K14" s="15" t="n">
        <v>1.65</v>
      </c>
    </row>
    <row r="15">
      <c r="A15" s="14" t="inlineStr">
        <is>
          <t>155 tortoise</t>
        </is>
      </c>
      <c r="B15" s="14" t="n">
        <v>29</v>
      </c>
      <c r="C15" s="14" t="n">
        <v>43</v>
      </c>
      <c r="D15" s="14" t="n">
        <v>6</v>
      </c>
      <c r="E15" s="14" t="n">
        <v>20.69</v>
      </c>
      <c r="F15" s="14" t="n">
        <v>239.94</v>
      </c>
      <c r="G15" s="14" t="n">
        <v>1.13</v>
      </c>
      <c r="H15" s="14" t="n">
        <v>2.7</v>
      </c>
      <c r="I15" s="14" t="n">
        <v>39.99</v>
      </c>
      <c r="J15" s="14" t="n">
        <v>16.67</v>
      </c>
      <c r="K15" s="15" t="n">
        <v>6.75</v>
      </c>
    </row>
    <row r="16">
      <c r="A16" s="14" t="inlineStr">
        <is>
          <t>156 tortoise</t>
        </is>
      </c>
      <c r="B16" s="14" t="n">
        <v>32</v>
      </c>
      <c r="C16" s="14" t="n">
        <v>57</v>
      </c>
      <c r="D16" s="14" t="n">
        <v>6</v>
      </c>
      <c r="E16" s="14" t="n">
        <v>18.75</v>
      </c>
      <c r="F16" s="14" t="n">
        <v>215.94</v>
      </c>
      <c r="G16" s="14" t="n">
        <v>10.23</v>
      </c>
      <c r="H16" s="14" t="n">
        <v>22.08</v>
      </c>
      <c r="I16" s="14" t="n">
        <v>151.96</v>
      </c>
      <c r="J16" s="14" t="n">
        <v>70.37</v>
      </c>
      <c r="K16" s="15" t="n">
        <v>14.53</v>
      </c>
    </row>
    <row r="17">
      <c r="A17" s="14" t="inlineStr">
        <is>
          <t>3098 Yellow</t>
        </is>
      </c>
      <c r="B17" s="14" t="n">
        <v>38</v>
      </c>
      <c r="C17" s="14" t="n">
        <v>53</v>
      </c>
      <c r="D17" s="14" t="n">
        <v>6</v>
      </c>
      <c r="E17" s="14" t="n">
        <v>15.79</v>
      </c>
      <c r="F17" s="14" t="n">
        <v>155.88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/>
    </row>
    <row r="18">
      <c r="A18" s="14" t="inlineStr">
        <is>
          <t>HG-271R-QWAB</t>
        </is>
      </c>
      <c r="B18" s="14" t="n">
        <v>15</v>
      </c>
      <c r="C18" s="14" t="n">
        <v>21</v>
      </c>
      <c r="D18" s="14" t="n">
        <v>6</v>
      </c>
      <c r="E18" s="14" t="n">
        <v>40</v>
      </c>
      <c r="F18" s="14" t="n">
        <v>113.94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/>
    </row>
    <row r="19">
      <c r="A19" s="14" t="inlineStr">
        <is>
          <t>158-c2</t>
        </is>
      </c>
      <c r="B19" s="14" t="n">
        <v>16</v>
      </c>
      <c r="C19" s="14" t="n">
        <v>23</v>
      </c>
      <c r="D19" s="14" t="n">
        <v>4</v>
      </c>
      <c r="E19" s="14" t="n">
        <v>25</v>
      </c>
      <c r="F19" s="14" t="n">
        <v>143.96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/>
    </row>
    <row r="20">
      <c r="A20" s="14" t="inlineStr">
        <is>
          <t>156 pink</t>
        </is>
      </c>
      <c r="B20" s="14" t="n">
        <v>17</v>
      </c>
      <c r="C20" s="14" t="n">
        <v>28</v>
      </c>
      <c r="D20" s="14" t="n">
        <v>3</v>
      </c>
      <c r="E20" s="14" t="n">
        <v>17.65</v>
      </c>
      <c r="F20" s="14" t="n">
        <v>107.97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/>
    </row>
    <row r="21" ht="18.3" customHeight="1">
      <c r="A21" s="14" t="inlineStr">
        <is>
          <t>162-c1</t>
        </is>
      </c>
      <c r="B21" s="14" t="n">
        <v>4</v>
      </c>
      <c r="C21" s="14" t="n">
        <v>7</v>
      </c>
      <c r="D21" s="14" t="n">
        <v>2</v>
      </c>
      <c r="E21" s="14" t="n">
        <v>50</v>
      </c>
      <c r="F21" s="14" t="n">
        <v>71.98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/>
      <c r="M21" s="21" t="inlineStr">
        <is>
          <t>本周广告ACOS&gt;10%，销量增长最快的3个SKU</t>
        </is>
      </c>
      <c r="N21" s="22" t="n"/>
      <c r="O21" s="22" t="n"/>
      <c r="P21" s="22" t="n"/>
      <c r="Q21" s="22" t="n"/>
      <c r="R21" s="22" t="n"/>
      <c r="S21" s="23" t="n"/>
    </row>
    <row r="22">
      <c r="A22" s="14" t="inlineStr">
        <is>
          <t>C6-6LPA-MZ76</t>
        </is>
      </c>
      <c r="B22" s="14" t="n">
        <v>6</v>
      </c>
      <c r="C22" s="14" t="n">
        <v>12</v>
      </c>
      <c r="D22" s="14" t="n">
        <v>2</v>
      </c>
      <c r="E22" s="14" t="n">
        <v>33.33</v>
      </c>
      <c r="F22" s="14" t="n">
        <v>67.98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/>
      <c r="M22" s="19" t="inlineStr">
        <is>
          <t>排名</t>
        </is>
      </c>
      <c r="N22" s="19" t="inlineStr">
        <is>
          <t>SKU</t>
        </is>
      </c>
      <c r="O22" s="19" t="inlineStr">
        <is>
          <t>上周销量</t>
        </is>
      </c>
      <c r="P22" s="19" t="inlineStr">
        <is>
          <t>本周销量</t>
        </is>
      </c>
      <c r="Q22" s="19" t="inlineStr">
        <is>
          <t>销量增长</t>
        </is>
      </c>
      <c r="R22" s="19" t="inlineStr">
        <is>
          <t>本周ACOS</t>
        </is>
      </c>
      <c r="S22" s="19" t="inlineStr">
        <is>
          <t>本周广告出单占比</t>
        </is>
      </c>
    </row>
    <row r="23">
      <c r="A23" s="14" t="inlineStr">
        <is>
          <t>616 G</t>
        </is>
      </c>
      <c r="B23" s="14" t="n">
        <v>2</v>
      </c>
      <c r="C23" s="14" t="n">
        <v>3</v>
      </c>
      <c r="D23" s="14" t="n">
        <v>1</v>
      </c>
      <c r="E23" s="14" t="n">
        <v>50</v>
      </c>
      <c r="F23" s="14" t="n">
        <v>55.98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/>
      <c r="M23" s="20" t="inlineStr">
        <is>
          <t>Top1</t>
        </is>
      </c>
      <c r="N23" s="24" t="inlineStr">
        <is>
          <t>41gray</t>
        </is>
      </c>
      <c r="O23" s="20" t="n">
        <v>4</v>
      </c>
      <c r="P23" s="20" t="n">
        <v>7</v>
      </c>
      <c r="Q23" s="20" t="inlineStr">
        <is>
          <t>+75.00%</t>
        </is>
      </c>
      <c r="R23" s="20" t="inlineStr">
        <is>
          <t>18.11%</t>
        </is>
      </c>
      <c r="S23" s="20" t="inlineStr">
        <is>
          <t>33.33%</t>
        </is>
      </c>
    </row>
    <row r="24">
      <c r="A24" s="14" t="inlineStr">
        <is>
          <t>high contrast-blue</t>
        </is>
      </c>
      <c r="B24" s="14" t="n">
        <v>2</v>
      </c>
      <c r="C24" s="14" t="n">
        <v>6</v>
      </c>
      <c r="D24" s="14" t="n">
        <v>1</v>
      </c>
      <c r="E24" s="14" t="n">
        <v>50</v>
      </c>
      <c r="F24" s="14" t="n">
        <v>49.99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/>
      <c r="M24" s="20" t="inlineStr">
        <is>
          <t>Top2</t>
        </is>
      </c>
      <c r="N24" s="24" t="inlineStr">
        <is>
          <t>ZR-NXXV-8Y99</t>
        </is>
      </c>
      <c r="O24" s="20" t="n">
        <v>18</v>
      </c>
      <c r="P24" s="20" t="n">
        <v>13</v>
      </c>
      <c r="Q24" s="20" t="inlineStr">
        <is>
          <t>-28.70%</t>
        </is>
      </c>
      <c r="R24" s="20" t="inlineStr">
        <is>
          <t>40.37%</t>
        </is>
      </c>
      <c r="S24" s="20" t="inlineStr">
        <is>
          <t>18.18%</t>
        </is>
      </c>
    </row>
    <row r="25">
      <c r="A25" s="14" t="inlineStr">
        <is>
          <t>167-c1</t>
        </is>
      </c>
      <c r="B25" s="14" t="n">
        <v>3</v>
      </c>
      <c r="C25" s="14" t="n">
        <v>4</v>
      </c>
      <c r="D25" s="14" t="n">
        <v>1</v>
      </c>
      <c r="E25" s="14" t="n">
        <v>33.33</v>
      </c>
      <c r="F25" s="14" t="n">
        <v>32.04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/>
    </row>
    <row r="26">
      <c r="A26" s="14" t="inlineStr">
        <is>
          <t>9G-1B82-PV7E</t>
        </is>
      </c>
      <c r="B26" s="14" t="n">
        <v>1</v>
      </c>
      <c r="C26" s="14" t="n">
        <v>3</v>
      </c>
      <c r="D26" s="14" t="n">
        <v>1</v>
      </c>
      <c r="E26" s="14" t="n">
        <v>100</v>
      </c>
      <c r="F26" s="14" t="n">
        <v>28.99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/>
    </row>
    <row r="27">
      <c r="A27" s="25" t="inlineStr">
        <is>
          <t>总计</t>
        </is>
      </c>
      <c r="B27" s="25">
        <f>SUM(B2:B26)</f>
        <v/>
      </c>
      <c r="C27" s="25">
        <f>SUM(C2:C26)</f>
        <v/>
      </c>
      <c r="D27" s="25">
        <f>SUM(D2:D26)</f>
        <v/>
      </c>
      <c r="E27" s="26">
        <f>AVERAGE(E2:E26)</f>
        <v/>
      </c>
      <c r="F27" s="25">
        <f>SUM(F2:F26)</f>
        <v/>
      </c>
      <c r="G27" s="26">
        <f>IF(F27=0,0,H27/F27*100)</f>
        <v/>
      </c>
      <c r="H27" s="25">
        <f>SUM(H2:H26)</f>
        <v/>
      </c>
      <c r="I27" s="25">
        <f>SUM(I2:I26)</f>
        <v/>
      </c>
      <c r="J27" s="26">
        <f>IF(F27=0,0,I27/F27*100)</f>
        <v/>
      </c>
      <c r="K27" s="26">
        <f>IF(I27=0,0,H27/I27*100)</f>
        <v/>
      </c>
    </row>
    <row r="28">
      <c r="M28" s="5" t="n"/>
      <c r="N28" s="6" t="n"/>
      <c r="O28" s="6" t="n"/>
      <c r="P28" s="6" t="n"/>
      <c r="Q28" s="7" t="n"/>
    </row>
    <row r="29" ht="18.3" customHeight="1">
      <c r="M29" s="21" t="inlineStr">
        <is>
          <t>7天订单数量&gt;10，转化率最高的3个SKU</t>
        </is>
      </c>
      <c r="N29" s="22" t="n"/>
      <c r="O29" s="22" t="n"/>
      <c r="P29" s="22" t="n"/>
      <c r="Q29" s="23" t="n"/>
    </row>
    <row r="30">
      <c r="M30" s="19" t="inlineStr">
        <is>
          <t>排名</t>
        </is>
      </c>
      <c r="N30" s="19" t="inlineStr">
        <is>
          <t>SKU</t>
        </is>
      </c>
      <c r="O30" s="19" t="inlineStr">
        <is>
          <t>订单量</t>
        </is>
      </c>
      <c r="P30" s="19" t="inlineStr">
        <is>
          <t>点击量</t>
        </is>
      </c>
      <c r="Q30" s="19" t="inlineStr">
        <is>
          <t>转化率</t>
        </is>
      </c>
    </row>
    <row r="31">
      <c r="M31" s="20" t="inlineStr">
        <is>
          <t>Top1</t>
        </is>
      </c>
      <c r="N31" s="24" t="inlineStr">
        <is>
          <t>ZR-NXXV-8Y99</t>
        </is>
      </c>
      <c r="O31" s="20" t="n">
        <v>13</v>
      </c>
      <c r="P31" s="20" t="n">
        <v>132</v>
      </c>
      <c r="Q31" s="20" t="inlineStr">
        <is>
          <t>9.73%</t>
        </is>
      </c>
    </row>
    <row r="32">
      <c r="M32" s="20" t="inlineStr">
        <is>
          <t>Top2</t>
        </is>
      </c>
      <c r="N32" s="24" t="inlineStr">
        <is>
          <t>41pink</t>
        </is>
      </c>
      <c r="O32" s="20" t="n">
        <v>10</v>
      </c>
      <c r="P32" s="20" t="n">
        <v>128</v>
      </c>
      <c r="Q32" s="20" t="inlineStr">
        <is>
          <t>8.18%</t>
        </is>
      </c>
    </row>
    <row r="33"/>
    <row r="34"/>
    <row r="35"/>
    <row r="36"/>
    <row r="37"/>
    <row r="38"/>
  </sheetData>
  <mergeCells count="6">
    <mergeCell ref="M12:Q12"/>
    <mergeCell ref="M29:Q29"/>
    <mergeCell ref="U3:Y3"/>
    <mergeCell ref="U12:AA12"/>
    <mergeCell ref="M21:S21"/>
    <mergeCell ref="M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28</v>
      </c>
      <c r="D2" t="n">
        <v>50</v>
      </c>
      <c r="E2" t="n">
        <v>4</v>
      </c>
      <c r="F2" t="n">
        <v>14</v>
      </c>
      <c r="G2" t="n">
        <v>239.92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32</v>
      </c>
      <c r="D3" t="n">
        <v>50</v>
      </c>
      <c r="E3" t="n">
        <v>1</v>
      </c>
      <c r="F3" t="n">
        <v>3</v>
      </c>
      <c r="G3" t="n">
        <v>59.98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26</v>
      </c>
      <c r="D4" t="n">
        <v>42</v>
      </c>
      <c r="E4" t="n">
        <v>1</v>
      </c>
      <c r="F4" t="n">
        <v>4</v>
      </c>
      <c r="G4" t="n">
        <v>59.98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23</v>
      </c>
      <c r="D5" t="n">
        <v>41</v>
      </c>
      <c r="E5" t="n">
        <v>1</v>
      </c>
      <c r="F5" t="n">
        <v>4</v>
      </c>
      <c r="G5" t="n">
        <v>59.98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28</v>
      </c>
      <c r="D7" t="n">
        <v>43</v>
      </c>
      <c r="E7" t="n">
        <v>3</v>
      </c>
      <c r="F7" t="n">
        <v>11</v>
      </c>
      <c r="G7" t="n">
        <v>179.94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33</v>
      </c>
      <c r="D8" t="n">
        <v>54</v>
      </c>
      <c r="E8" t="n">
        <v>4</v>
      </c>
      <c r="F8" t="n">
        <v>12</v>
      </c>
      <c r="G8" t="n">
        <v>239.92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30</v>
      </c>
      <c r="D10" t="n">
        <v>53</v>
      </c>
      <c r="E10" t="n">
        <v>2</v>
      </c>
      <c r="F10" t="n">
        <v>7</v>
      </c>
      <c r="G10" t="n">
        <v>119.96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21</v>
      </c>
      <c r="D11" t="n">
        <v>37</v>
      </c>
      <c r="E11" t="n">
        <v>1</v>
      </c>
      <c r="F11" t="n">
        <v>5</v>
      </c>
      <c r="G11" t="n">
        <v>59.98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26</v>
      </c>
      <c r="D13" t="n">
        <v>71</v>
      </c>
      <c r="E13" t="n">
        <v>3</v>
      </c>
      <c r="F13" t="n">
        <v>12</v>
      </c>
      <c r="G13" t="n">
        <v>179.94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27</v>
      </c>
      <c r="D14" t="n">
        <v>59</v>
      </c>
      <c r="E14" t="n">
        <v>5</v>
      </c>
      <c r="F14" t="n">
        <v>19</v>
      </c>
      <c r="G14" t="n">
        <v>299.9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27</v>
      </c>
      <c r="D15" t="n">
        <v>56</v>
      </c>
      <c r="E15" t="n">
        <v>1</v>
      </c>
      <c r="F15" t="n">
        <v>4</v>
      </c>
      <c r="G15" t="n">
        <v>59.98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28</v>
      </c>
      <c r="D16" t="n">
        <v>44</v>
      </c>
      <c r="E16" t="n">
        <v>3</v>
      </c>
      <c r="F16" t="n">
        <v>11</v>
      </c>
      <c r="G16" t="n">
        <v>179.94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22</v>
      </c>
      <c r="D20" t="n">
        <v>39</v>
      </c>
      <c r="E20" t="n">
        <v>1</v>
      </c>
      <c r="F20" t="n">
        <v>5</v>
      </c>
      <c r="G20" t="n">
        <v>59.98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33</v>
      </c>
      <c r="D21" t="n">
        <v>56</v>
      </c>
      <c r="E21" t="n">
        <v>2</v>
      </c>
      <c r="F21" t="n">
        <v>6</v>
      </c>
      <c r="G21" t="n">
        <v>119.96</v>
      </c>
      <c r="H21" t="n">
        <v>2</v>
      </c>
      <c r="I21" t="n">
        <v>2.29</v>
      </c>
      <c r="J21" t="n">
        <v>59.98</v>
      </c>
      <c r="K21" t="n">
        <v>50</v>
      </c>
    </row>
    <row r="22">
      <c r="A22" t="n">
        <v>20</v>
      </c>
      <c r="B22" t="inlineStr">
        <is>
          <t>04-21</t>
        </is>
      </c>
      <c r="C22" t="n">
        <v>29</v>
      </c>
      <c r="D22" t="n">
        <v>51</v>
      </c>
      <c r="E22" t="n">
        <v>1</v>
      </c>
      <c r="F22" t="n">
        <v>3</v>
      </c>
      <c r="G22" t="n">
        <v>59.98</v>
      </c>
      <c r="H22" t="n">
        <v>6</v>
      </c>
      <c r="I22" t="n">
        <v>3.78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33</v>
      </c>
      <c r="D23" t="n">
        <v>59</v>
      </c>
      <c r="E23" t="n">
        <v>1</v>
      </c>
      <c r="F23" t="n">
        <v>3</v>
      </c>
      <c r="G23" t="n">
        <v>59.98</v>
      </c>
      <c r="H23" t="n">
        <v>5</v>
      </c>
      <c r="I23" t="n">
        <v>2.87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29</v>
      </c>
      <c r="D24" t="n">
        <v>51</v>
      </c>
      <c r="E24" t="n">
        <v>2</v>
      </c>
      <c r="F24" t="n">
        <v>7</v>
      </c>
      <c r="G24" t="n">
        <v>119.96</v>
      </c>
      <c r="H24" t="n">
        <v>2</v>
      </c>
      <c r="I24" t="n">
        <v>2.28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31</v>
      </c>
      <c r="D25" t="n">
        <v>47</v>
      </c>
      <c r="E25" t="n">
        <v>2</v>
      </c>
      <c r="F25" t="n">
        <v>6</v>
      </c>
      <c r="G25" t="n">
        <v>119.96</v>
      </c>
      <c r="H25" t="n">
        <v>3</v>
      </c>
      <c r="I25" t="n">
        <v>3.77</v>
      </c>
      <c r="J25" t="n">
        <v>59.98</v>
      </c>
      <c r="K25" t="n">
        <v>50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999</v>
      </c>
      <c r="I26" t="n">
        <v>3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25</v>
      </c>
      <c r="D27" t="n">
        <v>39</v>
      </c>
      <c r="E27" t="n">
        <v>4</v>
      </c>
      <c r="F27" t="n">
        <v>16</v>
      </c>
      <c r="G27" t="n">
        <v>239.92</v>
      </c>
      <c r="H27" t="n">
        <v>2</v>
      </c>
      <c r="I27" t="n">
        <v>4.36</v>
      </c>
      <c r="J27" t="n">
        <v>59.98</v>
      </c>
      <c r="K27" t="n">
        <v>25</v>
      </c>
    </row>
    <row r="28">
      <c r="A28" t="n">
        <v>26</v>
      </c>
      <c r="B28" t="inlineStr">
        <is>
          <t>04-27</t>
        </is>
      </c>
      <c r="C28" t="n">
        <v>32</v>
      </c>
      <c r="D28" t="n">
        <v>72</v>
      </c>
      <c r="E28" t="n">
        <v>1</v>
      </c>
      <c r="F28" t="n">
        <v>3</v>
      </c>
      <c r="G28" t="n">
        <v>59.98</v>
      </c>
      <c r="H28" t="n">
        <v>8</v>
      </c>
      <c r="I28" t="n">
        <v>4.76</v>
      </c>
      <c r="J28" t="n">
        <v>59.98</v>
      </c>
      <c r="K28" t="n">
        <v>100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999</v>
      </c>
      <c r="I29" t="n">
        <v>7.29</v>
      </c>
      <c r="J29" t="n">
        <v>35.99</v>
      </c>
      <c r="K29" t="n">
        <v>999</v>
      </c>
    </row>
    <row r="30">
      <c r="A30" t="n">
        <v>28</v>
      </c>
      <c r="B30" t="inlineStr">
        <is>
          <t>04-29</t>
        </is>
      </c>
      <c r="C30" t="n">
        <v>26</v>
      </c>
      <c r="D30" t="n">
        <v>40</v>
      </c>
      <c r="E30" t="n">
        <v>2</v>
      </c>
      <c r="F30" t="n">
        <v>8</v>
      </c>
      <c r="G30" t="n">
        <v>119.96</v>
      </c>
      <c r="H30" t="n">
        <v>4</v>
      </c>
      <c r="I30" t="n">
        <v>4.37</v>
      </c>
      <c r="J30" t="n">
        <v>59.98</v>
      </c>
      <c r="K30" t="n">
        <v>50</v>
      </c>
    </row>
    <row r="31">
      <c r="A31" t="n">
        <v>29</v>
      </c>
      <c r="B31" t="inlineStr">
        <is>
          <t>04-30</t>
        </is>
      </c>
      <c r="C31" t="n">
        <v>27</v>
      </c>
      <c r="D31" t="n">
        <v>51</v>
      </c>
      <c r="E31" t="n">
        <v>2</v>
      </c>
      <c r="F31" t="n">
        <v>7</v>
      </c>
      <c r="G31" t="n">
        <v>119.96</v>
      </c>
      <c r="H31" t="n">
        <v>2</v>
      </c>
      <c r="I31" t="n">
        <v>2.37</v>
      </c>
      <c r="J31" t="n">
        <v>119.96</v>
      </c>
      <c r="K31" t="n">
        <v>100</v>
      </c>
    </row>
    <row r="32">
      <c r="A32" t="n">
        <v>30</v>
      </c>
      <c r="B32" t="inlineStr">
        <is>
          <t>总计</t>
        </is>
      </c>
      <c r="C32" t="n">
        <v>616</v>
      </c>
      <c r="D32" t="n">
        <v>1105</v>
      </c>
      <c r="E32" t="n">
        <v>47</v>
      </c>
      <c r="F32" t="n">
        <v>7.63</v>
      </c>
      <c r="G32" t="n">
        <v>2819.06</v>
      </c>
      <c r="H32" t="n">
        <v>1.46</v>
      </c>
      <c r="I32" t="n">
        <v>41.14</v>
      </c>
      <c r="J32" t="n">
        <v>455.85</v>
      </c>
      <c r="K32" t="n">
        <v>16.17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17</v>
      </c>
      <c r="D2" t="n">
        <v>26</v>
      </c>
      <c r="E2" t="n">
        <v>3</v>
      </c>
      <c r="F2" t="n">
        <v>18</v>
      </c>
      <c r="G2" t="n">
        <v>59.94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21</v>
      </c>
      <c r="D3" t="n">
        <v>27</v>
      </c>
      <c r="E3" t="n">
        <v>4</v>
      </c>
      <c r="F3" t="n">
        <v>19</v>
      </c>
      <c r="G3" t="n">
        <v>79.92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15</v>
      </c>
      <c r="D4" t="n">
        <v>18</v>
      </c>
      <c r="E4" t="n">
        <v>2</v>
      </c>
      <c r="F4" t="n">
        <v>13</v>
      </c>
      <c r="G4" t="n">
        <v>39.96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24</v>
      </c>
      <c r="D5" t="n">
        <v>27</v>
      </c>
      <c r="E5" t="n">
        <v>4</v>
      </c>
      <c r="F5" t="n">
        <v>17</v>
      </c>
      <c r="G5" t="n">
        <v>79.92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18</v>
      </c>
      <c r="D6" t="n">
        <v>30</v>
      </c>
      <c r="E6" t="n">
        <v>3</v>
      </c>
      <c r="F6" t="n">
        <v>17</v>
      </c>
      <c r="G6" t="n">
        <v>59.94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30</v>
      </c>
      <c r="D7" t="n">
        <v>44</v>
      </c>
      <c r="E7" t="n">
        <v>3</v>
      </c>
      <c r="F7" t="n">
        <v>10</v>
      </c>
      <c r="G7" t="n">
        <v>59.94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23</v>
      </c>
      <c r="D10" t="n">
        <v>35</v>
      </c>
      <c r="E10" t="n">
        <v>3</v>
      </c>
      <c r="F10" t="n">
        <v>13</v>
      </c>
      <c r="G10" t="n">
        <v>59.94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28</v>
      </c>
      <c r="D11" t="n">
        <v>55</v>
      </c>
      <c r="E11" t="n">
        <v>3</v>
      </c>
      <c r="F11" t="n">
        <v>11</v>
      </c>
      <c r="G11" t="n">
        <v>59.94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20</v>
      </c>
      <c r="D12" t="n">
        <v>31</v>
      </c>
      <c r="E12" t="n">
        <v>4</v>
      </c>
      <c r="F12" t="n">
        <v>20</v>
      </c>
      <c r="G12" t="n">
        <v>79.92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18</v>
      </c>
      <c r="D13" t="n">
        <v>27</v>
      </c>
      <c r="E13" t="n">
        <v>3</v>
      </c>
      <c r="F13" t="n">
        <v>17</v>
      </c>
      <c r="G13" t="n">
        <v>59.94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28</v>
      </c>
      <c r="D14" t="n">
        <v>37</v>
      </c>
      <c r="E14" t="n">
        <v>3</v>
      </c>
      <c r="F14" t="n">
        <v>11</v>
      </c>
      <c r="G14" t="n">
        <v>59.94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28</v>
      </c>
      <c r="D15" t="n">
        <v>48</v>
      </c>
      <c r="E15" t="n">
        <v>3</v>
      </c>
      <c r="F15" t="n">
        <v>11</v>
      </c>
      <c r="G15" t="n">
        <v>59.93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25</v>
      </c>
      <c r="D16" t="n">
        <v>34</v>
      </c>
      <c r="E16" t="n">
        <v>6</v>
      </c>
      <c r="F16" t="n">
        <v>24</v>
      </c>
      <c r="G16" t="n">
        <v>119.88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21</v>
      </c>
      <c r="D17" t="n">
        <v>28</v>
      </c>
      <c r="E17" t="n">
        <v>2</v>
      </c>
      <c r="F17" t="n">
        <v>10</v>
      </c>
      <c r="G17" t="n">
        <v>39.95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14</v>
      </c>
      <c r="D18" t="n">
        <v>20</v>
      </c>
      <c r="E18" t="n">
        <v>2</v>
      </c>
      <c r="F18" t="n">
        <v>14</v>
      </c>
      <c r="G18" t="n">
        <v>39.96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18</v>
      </c>
      <c r="D19" t="n">
        <v>24</v>
      </c>
      <c r="E19" t="n">
        <v>1</v>
      </c>
      <c r="F19" t="n">
        <v>6</v>
      </c>
      <c r="G19" t="n">
        <v>19.98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28</v>
      </c>
      <c r="D20" t="n">
        <v>40</v>
      </c>
      <c r="E20" t="n">
        <v>3</v>
      </c>
      <c r="F20" t="n">
        <v>11</v>
      </c>
      <c r="G20" t="n">
        <v>59.94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23</v>
      </c>
      <c r="D21" t="n">
        <v>27</v>
      </c>
      <c r="E21" t="n">
        <v>2</v>
      </c>
      <c r="F21" t="n">
        <v>9</v>
      </c>
      <c r="G21" t="n">
        <v>39.96</v>
      </c>
      <c r="H21" t="n">
        <v>4</v>
      </c>
      <c r="I21" t="n">
        <v>1.48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19</v>
      </c>
      <c r="D22" t="n">
        <v>27</v>
      </c>
      <c r="E22" t="n">
        <v>1</v>
      </c>
      <c r="F22" t="n">
        <v>5</v>
      </c>
      <c r="G22" t="n">
        <v>19.98</v>
      </c>
      <c r="H22" t="n">
        <v>2</v>
      </c>
      <c r="I22" t="n">
        <v>0.46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22</v>
      </c>
      <c r="D23" t="n">
        <v>31</v>
      </c>
      <c r="E23" t="n">
        <v>1</v>
      </c>
      <c r="F23" t="n">
        <v>5</v>
      </c>
      <c r="G23" t="n">
        <v>19.98</v>
      </c>
      <c r="H23" t="n">
        <v>15</v>
      </c>
      <c r="I23" t="n">
        <v>2.96</v>
      </c>
      <c r="J23" t="n">
        <v>19.98</v>
      </c>
      <c r="K23" t="n">
        <v>100</v>
      </c>
    </row>
    <row r="24">
      <c r="A24" t="n">
        <v>22</v>
      </c>
      <c r="B24" t="inlineStr">
        <is>
          <t>04-23</t>
        </is>
      </c>
      <c r="C24" t="n">
        <v>16</v>
      </c>
      <c r="D24" t="n">
        <v>28</v>
      </c>
      <c r="E24" t="n">
        <v>3</v>
      </c>
      <c r="F24" t="n">
        <v>19</v>
      </c>
      <c r="G24" t="n">
        <v>59.94</v>
      </c>
      <c r="H24" t="n">
        <v>5</v>
      </c>
      <c r="I24" t="n">
        <v>2.8</v>
      </c>
      <c r="J24" t="n">
        <v>19.98</v>
      </c>
      <c r="K24" t="n">
        <v>33</v>
      </c>
    </row>
    <row r="25">
      <c r="A25" t="n">
        <v>23</v>
      </c>
      <c r="B25" t="inlineStr">
        <is>
          <t>04-24</t>
        </is>
      </c>
      <c r="C25" t="n">
        <v>18</v>
      </c>
      <c r="D25" t="n">
        <v>26</v>
      </c>
      <c r="E25" t="n">
        <v>7</v>
      </c>
      <c r="F25" t="n">
        <v>39</v>
      </c>
      <c r="G25" t="n">
        <v>139.86</v>
      </c>
      <c r="H25" t="n">
        <v>2</v>
      </c>
      <c r="I25" t="n">
        <v>2.62</v>
      </c>
      <c r="J25" t="n">
        <v>39.96</v>
      </c>
      <c r="K25" t="n">
        <v>29</v>
      </c>
    </row>
    <row r="26">
      <c r="A26" t="n">
        <v>24</v>
      </c>
      <c r="B26" t="inlineStr">
        <is>
          <t>04-25</t>
        </is>
      </c>
      <c r="C26" t="n">
        <v>26</v>
      </c>
      <c r="D26" t="n">
        <v>47</v>
      </c>
      <c r="E26" t="n">
        <v>4</v>
      </c>
      <c r="F26" t="n">
        <v>15</v>
      </c>
      <c r="G26" t="n">
        <v>79.92</v>
      </c>
      <c r="H26" t="n">
        <v>7</v>
      </c>
      <c r="I26" t="n">
        <v>5.37</v>
      </c>
      <c r="J26" t="n">
        <v>19.98</v>
      </c>
      <c r="K26" t="n">
        <v>25</v>
      </c>
    </row>
    <row r="27">
      <c r="A27" t="n">
        <v>25</v>
      </c>
      <c r="B27" t="inlineStr">
        <is>
          <t>04-26</t>
        </is>
      </c>
      <c r="C27" t="n">
        <v>23</v>
      </c>
      <c r="D27" t="n">
        <v>28</v>
      </c>
      <c r="E27" t="n">
        <v>1</v>
      </c>
      <c r="F27" t="n">
        <v>4</v>
      </c>
      <c r="G27" t="n">
        <v>19.98</v>
      </c>
      <c r="H27" t="n">
        <v>15</v>
      </c>
      <c r="I27" t="n">
        <v>2.9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24</v>
      </c>
      <c r="D28" t="n">
        <v>34</v>
      </c>
      <c r="E28" t="n">
        <v>1</v>
      </c>
      <c r="F28" t="n">
        <v>4</v>
      </c>
      <c r="G28" t="n">
        <v>19.98</v>
      </c>
      <c r="H28" t="n">
        <v>14</v>
      </c>
      <c r="I28" t="n">
        <v>2.71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14</v>
      </c>
      <c r="D29" t="n">
        <v>20</v>
      </c>
      <c r="E29" t="n">
        <v>3</v>
      </c>
      <c r="F29" t="n">
        <v>21</v>
      </c>
      <c r="G29" t="n">
        <v>59.94</v>
      </c>
      <c r="H29" t="n">
        <v>5</v>
      </c>
      <c r="I29" t="n">
        <v>2.81</v>
      </c>
      <c r="J29" t="n">
        <v>19.98</v>
      </c>
      <c r="K29" t="n">
        <v>33</v>
      </c>
    </row>
    <row r="30">
      <c r="A30" t="n">
        <v>28</v>
      </c>
      <c r="B30" t="inlineStr">
        <is>
          <t>04-29</t>
        </is>
      </c>
      <c r="C30" t="n">
        <v>26</v>
      </c>
      <c r="D30" t="n">
        <v>34</v>
      </c>
      <c r="E30" t="n">
        <v>2</v>
      </c>
      <c r="F30" t="n">
        <v>8</v>
      </c>
      <c r="G30" t="n">
        <v>39.96</v>
      </c>
      <c r="H30" t="n">
        <v>4</v>
      </c>
      <c r="I30" t="n">
        <v>1.71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999</v>
      </c>
      <c r="I31" t="n">
        <v>0.63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587</v>
      </c>
      <c r="D32" t="n">
        <v>853</v>
      </c>
      <c r="E32" t="n">
        <v>77</v>
      </c>
      <c r="F32" t="n">
        <v>13.12</v>
      </c>
      <c r="G32" t="n">
        <v>1538.44</v>
      </c>
      <c r="H32" t="n">
        <v>1.72</v>
      </c>
      <c r="I32" t="n">
        <v>26.45</v>
      </c>
      <c r="J32" t="n">
        <v>119.88</v>
      </c>
      <c r="K32" t="n">
        <v>7.79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11</v>
      </c>
      <c r="D3" t="n">
        <v>13</v>
      </c>
      <c r="E3" t="n">
        <v>1</v>
      </c>
      <c r="F3" t="n">
        <v>9</v>
      </c>
      <c r="G3" t="n">
        <v>45.99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8</v>
      </c>
      <c r="D5" t="n">
        <v>22</v>
      </c>
      <c r="E5" t="n">
        <v>2</v>
      </c>
      <c r="F5" t="n">
        <v>25</v>
      </c>
      <c r="G5" t="n">
        <v>91.98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12</v>
      </c>
      <c r="D7" t="n">
        <v>15</v>
      </c>
      <c r="E7" t="n">
        <v>1</v>
      </c>
      <c r="F7" t="n">
        <v>8</v>
      </c>
      <c r="G7" t="n">
        <v>45.99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7</v>
      </c>
      <c r="D8" t="n">
        <v>10</v>
      </c>
      <c r="E8" t="n">
        <v>1</v>
      </c>
      <c r="F8" t="n">
        <v>14</v>
      </c>
      <c r="G8" t="n">
        <v>45.99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12</v>
      </c>
      <c r="D10" t="n">
        <v>13</v>
      </c>
      <c r="E10" t="n">
        <v>2</v>
      </c>
      <c r="F10" t="n">
        <v>17</v>
      </c>
      <c r="G10" t="n">
        <v>91.98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13</v>
      </c>
      <c r="D11" t="n">
        <v>14</v>
      </c>
      <c r="E11" t="n">
        <v>2</v>
      </c>
      <c r="F11" t="n">
        <v>15</v>
      </c>
      <c r="G11" t="n">
        <v>91.98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13</v>
      </c>
      <c r="D12" t="n">
        <v>16</v>
      </c>
      <c r="E12" t="n">
        <v>2</v>
      </c>
      <c r="F12" t="n">
        <v>15</v>
      </c>
      <c r="G12" t="n">
        <v>91.98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16</v>
      </c>
      <c r="D13" t="n">
        <v>25</v>
      </c>
      <c r="E13" t="n">
        <v>1</v>
      </c>
      <c r="F13" t="n">
        <v>6</v>
      </c>
      <c r="G13" t="n">
        <v>45.99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14</v>
      </c>
      <c r="D14" t="n">
        <v>20</v>
      </c>
      <c r="E14" t="n">
        <v>3</v>
      </c>
      <c r="F14" t="n">
        <v>21</v>
      </c>
      <c r="G14" t="n">
        <v>137.97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9</v>
      </c>
      <c r="D15" t="n">
        <v>11</v>
      </c>
      <c r="E15" t="n">
        <v>1</v>
      </c>
      <c r="F15" t="n">
        <v>11</v>
      </c>
      <c r="G15" t="n">
        <v>45.99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16</v>
      </c>
      <c r="D16" t="n">
        <v>24</v>
      </c>
      <c r="E16" t="n">
        <v>1</v>
      </c>
      <c r="F16" t="n">
        <v>6</v>
      </c>
      <c r="G16" t="n">
        <v>45.99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8</v>
      </c>
      <c r="D17" t="n">
        <v>10</v>
      </c>
      <c r="E17" t="n">
        <v>3</v>
      </c>
      <c r="F17" t="n">
        <v>38</v>
      </c>
      <c r="G17" t="n">
        <v>137.97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11</v>
      </c>
      <c r="D18" t="n">
        <v>18</v>
      </c>
      <c r="E18" t="n">
        <v>1</v>
      </c>
      <c r="F18" t="n">
        <v>9</v>
      </c>
      <c r="G18" t="n">
        <v>45.99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21</v>
      </c>
      <c r="D20" t="n">
        <v>24</v>
      </c>
      <c r="E20" t="n">
        <v>1</v>
      </c>
      <c r="F20" t="n">
        <v>5</v>
      </c>
      <c r="G20" t="n">
        <v>45.99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18</v>
      </c>
      <c r="D21" t="n">
        <v>24</v>
      </c>
      <c r="E21" t="n">
        <v>2</v>
      </c>
      <c r="F21" t="n">
        <v>11</v>
      </c>
      <c r="G21" t="n">
        <v>91.98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13</v>
      </c>
      <c r="D22" t="n">
        <v>16</v>
      </c>
      <c r="E22" t="n">
        <v>2</v>
      </c>
      <c r="F22" t="n">
        <v>15</v>
      </c>
      <c r="G22" t="n">
        <v>91.98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8</v>
      </c>
      <c r="D23" t="n">
        <v>10</v>
      </c>
      <c r="E23" t="n">
        <v>1</v>
      </c>
      <c r="F23" t="n">
        <v>12</v>
      </c>
      <c r="G23" t="n">
        <v>45.99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6</v>
      </c>
      <c r="D25" t="n">
        <v>8</v>
      </c>
      <c r="E25" t="n">
        <v>1</v>
      </c>
      <c r="F25" t="n">
        <v>17</v>
      </c>
      <c r="G25" t="n">
        <v>45.99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11</v>
      </c>
      <c r="D26" t="n">
        <v>21</v>
      </c>
      <c r="E26" t="n">
        <v>2</v>
      </c>
      <c r="F26" t="n">
        <v>18</v>
      </c>
      <c r="G26" t="n">
        <v>91.98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17</v>
      </c>
      <c r="D28" t="n">
        <v>24</v>
      </c>
      <c r="E28" t="n">
        <v>1</v>
      </c>
      <c r="F28" t="n">
        <v>6</v>
      </c>
      <c r="G28" t="n">
        <v>45.99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5</v>
      </c>
      <c r="D31" t="n">
        <v>5</v>
      </c>
      <c r="E31" t="n">
        <v>1</v>
      </c>
      <c r="F31" t="n">
        <v>20</v>
      </c>
      <c r="G31" t="n">
        <v>45.99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249</v>
      </c>
      <c r="D32" t="n">
        <v>343</v>
      </c>
      <c r="E32" t="n">
        <v>32</v>
      </c>
      <c r="F32" t="n">
        <v>12.85</v>
      </c>
      <c r="G32" t="n">
        <v>1471.68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21</v>
      </c>
      <c r="D2" t="n">
        <v>31</v>
      </c>
      <c r="E2" t="n">
        <v>1</v>
      </c>
      <c r="F2" t="n">
        <v>5</v>
      </c>
      <c r="G2" t="n">
        <v>59.98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16</v>
      </c>
      <c r="D4" t="n">
        <v>24</v>
      </c>
      <c r="E4" t="n">
        <v>1</v>
      </c>
      <c r="F4" t="n">
        <v>6</v>
      </c>
      <c r="G4" t="n">
        <v>59.98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16</v>
      </c>
      <c r="D5" t="n">
        <v>20</v>
      </c>
      <c r="E5" t="n">
        <v>1</v>
      </c>
      <c r="F5" t="n">
        <v>6</v>
      </c>
      <c r="G5" t="n">
        <v>59.98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16</v>
      </c>
      <c r="D11" t="n">
        <v>26</v>
      </c>
      <c r="E11" t="n">
        <v>2</v>
      </c>
      <c r="F11" t="n">
        <v>12</v>
      </c>
      <c r="G11" t="n">
        <v>119.96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15</v>
      </c>
      <c r="D13" t="n">
        <v>23</v>
      </c>
      <c r="E13" t="n">
        <v>1</v>
      </c>
      <c r="F13" t="n">
        <v>7</v>
      </c>
      <c r="G13" t="n">
        <v>59.98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20</v>
      </c>
      <c r="D14" t="n">
        <v>27</v>
      </c>
      <c r="E14" t="n">
        <v>1</v>
      </c>
      <c r="F14" t="n">
        <v>5</v>
      </c>
      <c r="G14" t="n">
        <v>59.98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23</v>
      </c>
      <c r="D16" t="n">
        <v>41</v>
      </c>
      <c r="E16" t="n">
        <v>1</v>
      </c>
      <c r="F16" t="n">
        <v>4</v>
      </c>
      <c r="G16" t="n">
        <v>59.98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23</v>
      </c>
      <c r="D17" t="n">
        <v>33</v>
      </c>
      <c r="E17" t="n">
        <v>1</v>
      </c>
      <c r="F17" t="n">
        <v>4</v>
      </c>
      <c r="G17" t="n">
        <v>59.98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999</v>
      </c>
      <c r="I21" t="n">
        <v>0.61</v>
      </c>
      <c r="J21" t="n">
        <v>59.98</v>
      </c>
      <c r="K21" t="n">
        <v>999</v>
      </c>
    </row>
    <row r="22">
      <c r="A22" t="n">
        <v>20</v>
      </c>
      <c r="B22" t="inlineStr">
        <is>
          <t>04-21</t>
        </is>
      </c>
      <c r="C22" t="n">
        <v>21</v>
      </c>
      <c r="D22" t="n">
        <v>44</v>
      </c>
      <c r="E22" t="n">
        <v>2</v>
      </c>
      <c r="F22" t="n">
        <v>10</v>
      </c>
      <c r="G22" t="n">
        <v>119.96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20</v>
      </c>
      <c r="D23" t="n">
        <v>34</v>
      </c>
      <c r="E23" t="n">
        <v>1</v>
      </c>
      <c r="F23" t="n">
        <v>5</v>
      </c>
      <c r="G23" t="n">
        <v>59.98</v>
      </c>
      <c r="H23" t="n">
        <v>1</v>
      </c>
      <c r="I23" t="n">
        <v>0.45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26</v>
      </c>
      <c r="D24" t="n">
        <v>44</v>
      </c>
      <c r="E24" t="n">
        <v>1</v>
      </c>
      <c r="F24" t="n">
        <v>4</v>
      </c>
      <c r="G24" t="n">
        <v>59.98</v>
      </c>
      <c r="H24" t="n">
        <v>6</v>
      </c>
      <c r="I24" t="n">
        <v>3.56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999</v>
      </c>
      <c r="I25" t="n">
        <v>2.53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999</v>
      </c>
      <c r="I26" t="n">
        <v>4.66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31</v>
      </c>
      <c r="D27" t="n">
        <v>47</v>
      </c>
      <c r="E27" t="n">
        <v>1</v>
      </c>
      <c r="F27" t="n">
        <v>3</v>
      </c>
      <c r="G27" t="n">
        <v>59.98</v>
      </c>
      <c r="H27" t="n">
        <v>5</v>
      </c>
      <c r="I27" t="n">
        <v>3.21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29</v>
      </c>
      <c r="D28" t="n">
        <v>56</v>
      </c>
      <c r="E28" t="n">
        <v>1</v>
      </c>
      <c r="F28" t="n">
        <v>3</v>
      </c>
      <c r="G28" t="n">
        <v>59.98</v>
      </c>
      <c r="H28" t="n">
        <v>9</v>
      </c>
      <c r="I28" t="n">
        <v>5.68</v>
      </c>
      <c r="J28" t="n">
        <v>59.98</v>
      </c>
      <c r="K28" t="n">
        <v>100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999</v>
      </c>
      <c r="I29" t="n">
        <v>2.16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999</v>
      </c>
      <c r="I30" t="n">
        <v>4.65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28</v>
      </c>
      <c r="D31" t="n">
        <v>42</v>
      </c>
      <c r="E31" t="n">
        <v>4</v>
      </c>
      <c r="F31" t="n">
        <v>14</v>
      </c>
      <c r="G31" t="n">
        <v>239.92</v>
      </c>
      <c r="H31" t="n">
        <v>1</v>
      </c>
      <c r="I31" t="n">
        <v>1.36</v>
      </c>
      <c r="J31" t="n">
        <v>59.98</v>
      </c>
      <c r="K31" t="n">
        <v>25</v>
      </c>
    </row>
    <row r="32">
      <c r="A32" t="n">
        <v>30</v>
      </c>
      <c r="B32" t="inlineStr">
        <is>
          <t>总计</t>
        </is>
      </c>
      <c r="C32" t="n">
        <v>305</v>
      </c>
      <c r="D32" t="n">
        <v>492</v>
      </c>
      <c r="E32" t="n">
        <v>19</v>
      </c>
      <c r="F32" t="n">
        <v>6.23</v>
      </c>
      <c r="G32" t="n">
        <v>1139.62</v>
      </c>
      <c r="H32" t="n">
        <v>2.53</v>
      </c>
      <c r="I32" t="n">
        <v>28.87</v>
      </c>
      <c r="J32" t="n">
        <v>179.94</v>
      </c>
      <c r="K32" t="n">
        <v>15.79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5</v>
      </c>
      <c r="D2" t="n">
        <v>8</v>
      </c>
      <c r="E2" t="n">
        <v>1</v>
      </c>
      <c r="F2" t="n">
        <v>20</v>
      </c>
      <c r="G2" t="n">
        <v>25.99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9</v>
      </c>
      <c r="D3" t="n">
        <v>13</v>
      </c>
      <c r="E3" t="n">
        <v>1</v>
      </c>
      <c r="F3" t="n">
        <v>11</v>
      </c>
      <c r="G3" t="n">
        <v>25.99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12</v>
      </c>
      <c r="D4" t="n">
        <v>22</v>
      </c>
      <c r="E4" t="n">
        <v>3</v>
      </c>
      <c r="F4" t="n">
        <v>25</v>
      </c>
      <c r="G4" t="n">
        <v>77.97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9</v>
      </c>
      <c r="D5" t="n">
        <v>11</v>
      </c>
      <c r="E5" t="n">
        <v>1</v>
      </c>
      <c r="F5" t="n">
        <v>11</v>
      </c>
      <c r="G5" t="n">
        <v>25.99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15</v>
      </c>
      <c r="D6" t="n">
        <v>24</v>
      </c>
      <c r="E6" t="n">
        <v>2</v>
      </c>
      <c r="F6" t="n">
        <v>13</v>
      </c>
      <c r="G6" t="n">
        <v>51.98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15</v>
      </c>
      <c r="D7" t="n">
        <v>34</v>
      </c>
      <c r="E7" t="n">
        <v>3</v>
      </c>
      <c r="F7" t="n">
        <v>20</v>
      </c>
      <c r="G7" t="n">
        <v>77.97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11</v>
      </c>
      <c r="D9" t="n">
        <v>16</v>
      </c>
      <c r="E9" t="n">
        <v>3</v>
      </c>
      <c r="F9" t="n">
        <v>27</v>
      </c>
      <c r="G9" t="n">
        <v>77.97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12</v>
      </c>
      <c r="D10" t="n">
        <v>18</v>
      </c>
      <c r="E10" t="n">
        <v>2</v>
      </c>
      <c r="F10" t="n">
        <v>17</v>
      </c>
      <c r="G10" t="n">
        <v>51.98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13</v>
      </c>
      <c r="D11" t="n">
        <v>20</v>
      </c>
      <c r="E11" t="n">
        <v>1</v>
      </c>
      <c r="F11" t="n">
        <v>8</v>
      </c>
      <c r="G11" t="n">
        <v>25.99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12</v>
      </c>
      <c r="D12" t="n">
        <v>17</v>
      </c>
      <c r="E12" t="n">
        <v>1</v>
      </c>
      <c r="F12" t="n">
        <v>8</v>
      </c>
      <c r="G12" t="n">
        <v>25.99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10</v>
      </c>
      <c r="D14" t="n">
        <v>13</v>
      </c>
      <c r="E14" t="n">
        <v>2</v>
      </c>
      <c r="F14" t="n">
        <v>20</v>
      </c>
      <c r="G14" t="n">
        <v>51.98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9</v>
      </c>
      <c r="D15" t="n">
        <v>13</v>
      </c>
      <c r="E15" t="n">
        <v>2</v>
      </c>
      <c r="F15" t="n">
        <v>22</v>
      </c>
      <c r="G15" t="n">
        <v>51.98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11</v>
      </c>
      <c r="D18" t="n">
        <v>15</v>
      </c>
      <c r="E18" t="n">
        <v>2</v>
      </c>
      <c r="F18" t="n">
        <v>18</v>
      </c>
      <c r="G18" t="n">
        <v>51.98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8</v>
      </c>
      <c r="D21" t="n">
        <v>9</v>
      </c>
      <c r="E21" t="n">
        <v>2</v>
      </c>
      <c r="F21" t="n">
        <v>25</v>
      </c>
      <c r="G21" t="n">
        <v>51.98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8</v>
      </c>
      <c r="D22" t="n">
        <v>14</v>
      </c>
      <c r="E22" t="n">
        <v>1</v>
      </c>
      <c r="F22" t="n">
        <v>12</v>
      </c>
      <c r="G22" t="n">
        <v>25.99</v>
      </c>
      <c r="H22" t="n">
        <v>1</v>
      </c>
      <c r="I22" t="n">
        <v>0.18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7</v>
      </c>
      <c r="D24" t="n">
        <v>8</v>
      </c>
      <c r="E24" t="n">
        <v>2</v>
      </c>
      <c r="F24" t="n">
        <v>29</v>
      </c>
      <c r="G24" t="n">
        <v>51.98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999</v>
      </c>
      <c r="I25" t="n">
        <v>0.8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999</v>
      </c>
      <c r="I26" t="n">
        <v>0.35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999</v>
      </c>
      <c r="I28" t="n">
        <v>1.83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9</v>
      </c>
      <c r="D29" t="n">
        <v>13</v>
      </c>
      <c r="E29" t="n">
        <v>2</v>
      </c>
      <c r="F29" t="n">
        <v>22</v>
      </c>
      <c r="G29" t="n">
        <v>51.98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10</v>
      </c>
      <c r="D30" t="n">
        <v>18</v>
      </c>
      <c r="E30" t="n">
        <v>3</v>
      </c>
      <c r="F30" t="n">
        <v>30</v>
      </c>
      <c r="G30" t="n">
        <v>77.97</v>
      </c>
      <c r="H30" t="n">
        <v>1</v>
      </c>
      <c r="I30" t="n">
        <v>0.9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999</v>
      </c>
      <c r="I31" t="n">
        <v>0.59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185</v>
      </c>
      <c r="D32" t="n">
        <v>286</v>
      </c>
      <c r="E32" t="n">
        <v>34</v>
      </c>
      <c r="F32" t="n">
        <v>18.38</v>
      </c>
      <c r="G32" t="n">
        <v>883.66</v>
      </c>
      <c r="H32" t="n">
        <v>0.53</v>
      </c>
      <c r="I32" t="n">
        <v>4.65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13</v>
      </c>
      <c r="D4" t="n">
        <v>22</v>
      </c>
      <c r="E4" t="n">
        <v>2</v>
      </c>
      <c r="F4" t="n">
        <v>15</v>
      </c>
      <c r="G4" t="n">
        <v>51.98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15</v>
      </c>
      <c r="D5" t="n">
        <v>21</v>
      </c>
      <c r="E5" t="n">
        <v>1</v>
      </c>
      <c r="F5" t="n">
        <v>7</v>
      </c>
      <c r="G5" t="n">
        <v>25.99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9</v>
      </c>
      <c r="D6" t="n">
        <v>16</v>
      </c>
      <c r="E6" t="n">
        <v>1</v>
      </c>
      <c r="F6" t="n">
        <v>11</v>
      </c>
      <c r="G6" t="n">
        <v>25.99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23</v>
      </c>
      <c r="D7" t="n">
        <v>33</v>
      </c>
      <c r="E7" t="n">
        <v>2</v>
      </c>
      <c r="F7" t="n">
        <v>9</v>
      </c>
      <c r="G7" t="n">
        <v>51.98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21</v>
      </c>
      <c r="D9" t="n">
        <v>31</v>
      </c>
      <c r="E9" t="n">
        <v>3</v>
      </c>
      <c r="F9" t="n">
        <v>14</v>
      </c>
      <c r="G9" t="n">
        <v>77.97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15</v>
      </c>
      <c r="D10" t="n">
        <v>24</v>
      </c>
      <c r="E10" t="n">
        <v>1</v>
      </c>
      <c r="F10" t="n">
        <v>7</v>
      </c>
      <c r="G10" t="n">
        <v>25.99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23</v>
      </c>
      <c r="D11" t="n">
        <v>35</v>
      </c>
      <c r="E11" t="n">
        <v>1</v>
      </c>
      <c r="F11" t="n">
        <v>4</v>
      </c>
      <c r="G11" t="n">
        <v>25.99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23</v>
      </c>
      <c r="D13" t="n">
        <v>32</v>
      </c>
      <c r="E13" t="n">
        <v>2</v>
      </c>
      <c r="F13" t="n">
        <v>9</v>
      </c>
      <c r="G13" t="n">
        <v>51.98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15</v>
      </c>
      <c r="D14" t="n">
        <v>22</v>
      </c>
      <c r="E14" t="n">
        <v>1</v>
      </c>
      <c r="F14" t="n">
        <v>7</v>
      </c>
      <c r="G14" t="n">
        <v>25.99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19</v>
      </c>
      <c r="D15" t="n">
        <v>34</v>
      </c>
      <c r="E15" t="n">
        <v>4</v>
      </c>
      <c r="F15" t="n">
        <v>21</v>
      </c>
      <c r="G15" t="n">
        <v>103.96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12</v>
      </c>
      <c r="D16" t="n">
        <v>22</v>
      </c>
      <c r="E16" t="n">
        <v>1</v>
      </c>
      <c r="F16" t="n">
        <v>8</v>
      </c>
      <c r="G16" t="n">
        <v>25.99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8</v>
      </c>
      <c r="D19" t="n">
        <v>11</v>
      </c>
      <c r="E19" t="n">
        <v>1</v>
      </c>
      <c r="F19" t="n">
        <v>12</v>
      </c>
      <c r="G19" t="n">
        <v>25.99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16</v>
      </c>
      <c r="D20" t="n">
        <v>23</v>
      </c>
      <c r="E20" t="n">
        <v>3</v>
      </c>
      <c r="F20" t="n">
        <v>19</v>
      </c>
      <c r="G20" t="n">
        <v>77.97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9</v>
      </c>
      <c r="D22" t="n">
        <v>16</v>
      </c>
      <c r="E22" t="n">
        <v>1</v>
      </c>
      <c r="F22" t="n">
        <v>11</v>
      </c>
      <c r="G22" t="n">
        <v>25.99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13</v>
      </c>
      <c r="D26" t="n">
        <v>23</v>
      </c>
      <c r="E26" t="n">
        <v>1</v>
      </c>
      <c r="F26" t="n">
        <v>8</v>
      </c>
      <c r="G26" t="n">
        <v>25.99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14</v>
      </c>
      <c r="D29" t="n">
        <v>19</v>
      </c>
      <c r="E29" t="n">
        <v>2</v>
      </c>
      <c r="F29" t="n">
        <v>14</v>
      </c>
      <c r="G29" t="n">
        <v>51.98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8</v>
      </c>
      <c r="D31" t="n">
        <v>12</v>
      </c>
      <c r="E31" t="n">
        <v>1</v>
      </c>
      <c r="F31" t="n">
        <v>12</v>
      </c>
      <c r="G31" t="n">
        <v>25.99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256</v>
      </c>
      <c r="D32" t="n">
        <v>396</v>
      </c>
      <c r="E32" t="n">
        <v>28</v>
      </c>
      <c r="F32" t="n">
        <v>10.94</v>
      </c>
      <c r="G32" t="n">
        <v>727.72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30</v>
      </c>
      <c r="D5" t="n">
        <v>50</v>
      </c>
      <c r="E5" t="n">
        <v>1</v>
      </c>
      <c r="F5" t="n">
        <v>3</v>
      </c>
      <c r="G5" t="n">
        <v>45.99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48</v>
      </c>
      <c r="D7" t="n">
        <v>68</v>
      </c>
      <c r="E7" t="n">
        <v>1</v>
      </c>
      <c r="F7" t="n">
        <v>2</v>
      </c>
      <c r="G7" t="n">
        <v>45.99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50</v>
      </c>
      <c r="D8" t="n">
        <v>63</v>
      </c>
      <c r="E8" t="n">
        <v>2</v>
      </c>
      <c r="F8" t="n">
        <v>4</v>
      </c>
      <c r="G8" t="n">
        <v>91.98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47</v>
      </c>
      <c r="D9" t="n">
        <v>69</v>
      </c>
      <c r="E9" t="n">
        <v>2</v>
      </c>
      <c r="F9" t="n">
        <v>4</v>
      </c>
      <c r="G9" t="n">
        <v>91.98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61</v>
      </c>
      <c r="D13" t="n">
        <v>111</v>
      </c>
      <c r="E13" t="n">
        <v>2</v>
      </c>
      <c r="F13" t="n">
        <v>3</v>
      </c>
      <c r="G13" t="n">
        <v>91.98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38</v>
      </c>
      <c r="D14" t="n">
        <v>56</v>
      </c>
      <c r="E14" t="n">
        <v>2</v>
      </c>
      <c r="F14" t="n">
        <v>5</v>
      </c>
      <c r="G14" t="n">
        <v>91.98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28</v>
      </c>
      <c r="D18" t="n">
        <v>44</v>
      </c>
      <c r="E18" t="n">
        <v>1</v>
      </c>
      <c r="F18" t="n">
        <v>4</v>
      </c>
      <c r="G18" t="n">
        <v>45.99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48</v>
      </c>
      <c r="D20" t="n">
        <v>80</v>
      </c>
      <c r="E20" t="n">
        <v>1</v>
      </c>
      <c r="F20" t="n">
        <v>2</v>
      </c>
      <c r="G20" t="n">
        <v>45.99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33</v>
      </c>
      <c r="D27" t="n">
        <v>45</v>
      </c>
      <c r="E27" t="n">
        <v>1</v>
      </c>
      <c r="F27" t="n">
        <v>3</v>
      </c>
      <c r="G27" t="n">
        <v>45.99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383</v>
      </c>
      <c r="D32" t="n">
        <v>586</v>
      </c>
      <c r="E32" t="n">
        <v>13</v>
      </c>
      <c r="F32" t="n">
        <v>3.39</v>
      </c>
      <c r="G32" t="n">
        <v>597.87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6</v>
      </c>
      <c r="D6" t="n">
        <v>9</v>
      </c>
      <c r="E6" t="n">
        <v>1</v>
      </c>
      <c r="F6" t="n">
        <v>17</v>
      </c>
      <c r="G6" t="n">
        <v>25.98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13</v>
      </c>
      <c r="D7" t="n">
        <v>19</v>
      </c>
      <c r="E7" t="n">
        <v>1</v>
      </c>
      <c r="F7" t="n">
        <v>8</v>
      </c>
      <c r="G7" t="n">
        <v>25.98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5</v>
      </c>
      <c r="D9" t="n">
        <v>7</v>
      </c>
      <c r="E9" t="n">
        <v>2</v>
      </c>
      <c r="F9" t="n">
        <v>40</v>
      </c>
      <c r="G9" t="n">
        <v>51.96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12</v>
      </c>
      <c r="D11" t="n">
        <v>18</v>
      </c>
      <c r="E11" t="n">
        <v>2</v>
      </c>
      <c r="F11" t="n">
        <v>17</v>
      </c>
      <c r="G11" t="n">
        <v>51.96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10</v>
      </c>
      <c r="D13" t="n">
        <v>18</v>
      </c>
      <c r="E13" t="n">
        <v>1</v>
      </c>
      <c r="F13" t="n">
        <v>10</v>
      </c>
      <c r="G13" t="n">
        <v>25.98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8</v>
      </c>
      <c r="D14" t="n">
        <v>12</v>
      </c>
      <c r="E14" t="n">
        <v>1</v>
      </c>
      <c r="F14" t="n">
        <v>12</v>
      </c>
      <c r="G14" t="n">
        <v>25.98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11</v>
      </c>
      <c r="D15" t="n">
        <v>14</v>
      </c>
      <c r="E15" t="n">
        <v>1</v>
      </c>
      <c r="F15" t="n">
        <v>9</v>
      </c>
      <c r="G15" t="n">
        <v>25.98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6</v>
      </c>
      <c r="D18" t="n">
        <v>7</v>
      </c>
      <c r="E18" t="n">
        <v>2</v>
      </c>
      <c r="F18" t="n">
        <v>33</v>
      </c>
      <c r="G18" t="n">
        <v>51.96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6</v>
      </c>
      <c r="D19" t="n">
        <v>9</v>
      </c>
      <c r="E19" t="n">
        <v>3</v>
      </c>
      <c r="F19" t="n">
        <v>50</v>
      </c>
      <c r="G19" t="n">
        <v>77.94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3</v>
      </c>
      <c r="D21" t="n">
        <v>6</v>
      </c>
      <c r="E21" t="n">
        <v>1</v>
      </c>
      <c r="F21" t="n">
        <v>33</v>
      </c>
      <c r="G21" t="n">
        <v>25.98</v>
      </c>
      <c r="H21" t="n">
        <v>2</v>
      </c>
      <c r="I21" t="n">
        <v>0.47</v>
      </c>
      <c r="J21" t="n">
        <v>25.98</v>
      </c>
      <c r="K21" t="n">
        <v>100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12</v>
      </c>
      <c r="D24" t="n">
        <v>22</v>
      </c>
      <c r="E24" t="n">
        <v>3</v>
      </c>
      <c r="F24" t="n">
        <v>25</v>
      </c>
      <c r="G24" t="n">
        <v>77.94</v>
      </c>
      <c r="H24" t="n">
        <v>1</v>
      </c>
      <c r="I24" t="n">
        <v>0.45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999</v>
      </c>
      <c r="I25" t="n">
        <v>0.37</v>
      </c>
      <c r="J25" t="n">
        <v>25.98</v>
      </c>
      <c r="K25" t="n">
        <v>999</v>
      </c>
    </row>
    <row r="26">
      <c r="A26" t="n">
        <v>24</v>
      </c>
      <c r="B26" t="inlineStr">
        <is>
          <t>04-25</t>
        </is>
      </c>
      <c r="C26" t="n">
        <v>3</v>
      </c>
      <c r="D26" t="n">
        <v>9</v>
      </c>
      <c r="E26" t="n">
        <v>1</v>
      </c>
      <c r="F26" t="n">
        <v>33</v>
      </c>
      <c r="G26" t="n">
        <v>25.98</v>
      </c>
      <c r="H26" t="n">
        <v>1</v>
      </c>
      <c r="I26" t="n">
        <v>0.35</v>
      </c>
      <c r="J26" t="n">
        <v>25.98</v>
      </c>
      <c r="K26" t="n">
        <v>100</v>
      </c>
    </row>
    <row r="27">
      <c r="A27" t="n">
        <v>25</v>
      </c>
      <c r="B27" t="inlineStr">
        <is>
          <t>04-26</t>
        </is>
      </c>
      <c r="C27" t="n">
        <v>3</v>
      </c>
      <c r="D27" t="n">
        <v>4</v>
      </c>
      <c r="E27" t="n">
        <v>1</v>
      </c>
      <c r="F27" t="n">
        <v>33</v>
      </c>
      <c r="G27" t="n">
        <v>25.98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4</v>
      </c>
      <c r="D28" t="n">
        <v>6</v>
      </c>
      <c r="E28" t="n">
        <v>1</v>
      </c>
      <c r="F28" t="n">
        <v>25</v>
      </c>
      <c r="G28" t="n">
        <v>25.98</v>
      </c>
      <c r="H28" t="n">
        <v>2</v>
      </c>
      <c r="I28" t="n">
        <v>0.45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11</v>
      </c>
      <c r="D29" t="n">
        <v>15</v>
      </c>
      <c r="E29" t="n">
        <v>2</v>
      </c>
      <c r="F29" t="n">
        <v>18</v>
      </c>
      <c r="G29" t="n">
        <v>51.96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113</v>
      </c>
      <c r="D32" t="n">
        <v>175</v>
      </c>
      <c r="E32" t="n">
        <v>23</v>
      </c>
      <c r="F32" t="n">
        <v>20.35</v>
      </c>
      <c r="G32" t="n">
        <v>597.54</v>
      </c>
      <c r="H32" t="n">
        <v>0.35</v>
      </c>
      <c r="I32" t="n">
        <v>2.09</v>
      </c>
      <c r="J32" t="n">
        <v>77.94</v>
      </c>
      <c r="K32" t="n">
        <v>13.04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8</v>
      </c>
      <c r="D3" t="n">
        <v>9</v>
      </c>
      <c r="E3" t="n">
        <v>1</v>
      </c>
      <c r="F3" t="n">
        <v>12</v>
      </c>
      <c r="G3" t="n">
        <v>45.99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6</v>
      </c>
      <c r="D5" t="n">
        <v>12</v>
      </c>
      <c r="E5" t="n">
        <v>1</v>
      </c>
      <c r="F5" t="n">
        <v>17</v>
      </c>
      <c r="G5" t="n">
        <v>45.99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8</v>
      </c>
      <c r="D7" t="n">
        <v>11</v>
      </c>
      <c r="E7" t="n">
        <v>2</v>
      </c>
      <c r="F7" t="n">
        <v>25</v>
      </c>
      <c r="G7" t="n">
        <v>91.98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13</v>
      </c>
      <c r="D12" t="n">
        <v>18</v>
      </c>
      <c r="E12" t="n">
        <v>1</v>
      </c>
      <c r="F12" t="n">
        <v>8</v>
      </c>
      <c r="G12" t="n">
        <v>45.99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20</v>
      </c>
      <c r="D13" t="n">
        <v>27</v>
      </c>
      <c r="E13" t="n">
        <v>1</v>
      </c>
      <c r="F13" t="n">
        <v>5</v>
      </c>
      <c r="G13" t="n">
        <v>45.99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13</v>
      </c>
      <c r="D15" t="n">
        <v>15</v>
      </c>
      <c r="E15" t="n">
        <v>1</v>
      </c>
      <c r="F15" t="n">
        <v>8</v>
      </c>
      <c r="G15" t="n">
        <v>45.99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12</v>
      </c>
      <c r="D16" t="n">
        <v>15</v>
      </c>
      <c r="E16" t="n">
        <v>1</v>
      </c>
      <c r="F16" t="n">
        <v>8</v>
      </c>
      <c r="G16" t="n">
        <v>45.99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6</v>
      </c>
      <c r="D17" t="n">
        <v>6</v>
      </c>
      <c r="E17" t="n">
        <v>1</v>
      </c>
      <c r="F17" t="n">
        <v>17</v>
      </c>
      <c r="G17" t="n">
        <v>45.99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10</v>
      </c>
      <c r="D26" t="n">
        <v>10</v>
      </c>
      <c r="E26" t="n">
        <v>1</v>
      </c>
      <c r="F26" t="n">
        <v>10</v>
      </c>
      <c r="G26" t="n">
        <v>45.99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8</v>
      </c>
      <c r="D30" t="n">
        <v>10</v>
      </c>
      <c r="E30" t="n">
        <v>1</v>
      </c>
      <c r="F30" t="n">
        <v>12</v>
      </c>
      <c r="G30" t="n">
        <v>45.99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104</v>
      </c>
      <c r="D32" t="n">
        <v>133</v>
      </c>
      <c r="E32" t="n">
        <v>11</v>
      </c>
      <c r="F32" t="n">
        <v>10.58</v>
      </c>
      <c r="G32" t="n">
        <v>505.89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6</v>
      </c>
      <c r="D2" t="n">
        <v>11</v>
      </c>
      <c r="E2" t="n">
        <v>1</v>
      </c>
      <c r="F2" t="n">
        <v>17</v>
      </c>
      <c r="G2" t="n">
        <v>35.99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6</v>
      </c>
      <c r="D5" t="n">
        <v>9</v>
      </c>
      <c r="E5" t="n">
        <v>2</v>
      </c>
      <c r="F5" t="n">
        <v>33</v>
      </c>
      <c r="G5" t="n">
        <v>71.98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4</v>
      </c>
      <c r="D8" t="n">
        <v>9</v>
      </c>
      <c r="E8" t="n">
        <v>2</v>
      </c>
      <c r="F8" t="n">
        <v>50</v>
      </c>
      <c r="G8" t="n">
        <v>71.98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2</v>
      </c>
      <c r="D11" t="n">
        <v>3</v>
      </c>
      <c r="E11" t="n">
        <v>1</v>
      </c>
      <c r="F11" t="n">
        <v>50</v>
      </c>
      <c r="G11" t="n">
        <v>35.99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5</v>
      </c>
      <c r="D12" t="n">
        <v>7</v>
      </c>
      <c r="E12" t="n">
        <v>2</v>
      </c>
      <c r="F12" t="n">
        <v>40</v>
      </c>
      <c r="G12" t="n">
        <v>71.98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7</v>
      </c>
      <c r="D13" t="n">
        <v>11</v>
      </c>
      <c r="E13" t="n">
        <v>1</v>
      </c>
      <c r="F13" t="n">
        <v>14</v>
      </c>
      <c r="G13" t="n">
        <v>35.99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10</v>
      </c>
      <c r="D16" t="n">
        <v>13</v>
      </c>
      <c r="E16" t="n">
        <v>1</v>
      </c>
      <c r="F16" t="n">
        <v>10</v>
      </c>
      <c r="G16" t="n">
        <v>35.99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9</v>
      </c>
      <c r="D20" t="n">
        <v>10</v>
      </c>
      <c r="E20" t="n">
        <v>1</v>
      </c>
      <c r="F20" t="n">
        <v>11</v>
      </c>
      <c r="G20" t="n">
        <v>35.99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7</v>
      </c>
      <c r="D27" t="n">
        <v>8</v>
      </c>
      <c r="E27" t="n">
        <v>3</v>
      </c>
      <c r="F27" t="n">
        <v>43</v>
      </c>
      <c r="G27" t="n">
        <v>107.97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56</v>
      </c>
      <c r="D32" t="n">
        <v>81</v>
      </c>
      <c r="E32" t="n">
        <v>14</v>
      </c>
      <c r="F32" t="n">
        <v>25</v>
      </c>
      <c r="G32" t="n">
        <v>503.86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13</v>
      </c>
      <c r="D6" t="n">
        <v>22</v>
      </c>
      <c r="E6" t="n">
        <v>2</v>
      </c>
      <c r="F6" t="n">
        <v>15</v>
      </c>
      <c r="G6" t="n">
        <v>71.98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6</v>
      </c>
      <c r="D8" t="n">
        <v>7</v>
      </c>
      <c r="E8" t="n">
        <v>1</v>
      </c>
      <c r="F8" t="n">
        <v>17</v>
      </c>
      <c r="G8" t="n">
        <v>35.99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9</v>
      </c>
      <c r="D9" t="n">
        <v>13</v>
      </c>
      <c r="E9" t="n">
        <v>1</v>
      </c>
      <c r="F9" t="n">
        <v>11</v>
      </c>
      <c r="G9" t="n">
        <v>35.99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10</v>
      </c>
      <c r="D13" t="n">
        <v>14</v>
      </c>
      <c r="E13" t="n">
        <v>2</v>
      </c>
      <c r="F13" t="n">
        <v>20</v>
      </c>
      <c r="G13" t="n">
        <v>71.98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9</v>
      </c>
      <c r="D15" t="n">
        <v>15</v>
      </c>
      <c r="E15" t="n">
        <v>1</v>
      </c>
      <c r="F15" t="n">
        <v>11</v>
      </c>
      <c r="G15" t="n">
        <v>35.99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11</v>
      </c>
      <c r="D21" t="n">
        <v>11</v>
      </c>
      <c r="E21" t="n">
        <v>1</v>
      </c>
      <c r="F21" t="n">
        <v>9</v>
      </c>
      <c r="G21" t="n">
        <v>35.99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7</v>
      </c>
      <c r="D24" t="n">
        <v>7</v>
      </c>
      <c r="E24" t="n">
        <v>1</v>
      </c>
      <c r="F24" t="n">
        <v>14</v>
      </c>
      <c r="G24" t="n">
        <v>35.99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2</v>
      </c>
      <c r="D25" t="n">
        <v>2</v>
      </c>
      <c r="E25" t="n">
        <v>1</v>
      </c>
      <c r="F25" t="n">
        <v>50</v>
      </c>
      <c r="G25" t="n">
        <v>35.99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9</v>
      </c>
      <c r="D29" t="n">
        <v>11</v>
      </c>
      <c r="E29" t="n">
        <v>2</v>
      </c>
      <c r="F29" t="n">
        <v>22</v>
      </c>
      <c r="G29" t="n">
        <v>71.98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10</v>
      </c>
      <c r="D30" t="n">
        <v>11</v>
      </c>
      <c r="E30" t="n">
        <v>1</v>
      </c>
      <c r="F30" t="n">
        <v>10</v>
      </c>
      <c r="G30" t="n">
        <v>35.97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86</v>
      </c>
      <c r="D32" t="n">
        <v>113</v>
      </c>
      <c r="E32" t="n">
        <v>13</v>
      </c>
      <c r="F32" t="n">
        <v>15.12</v>
      </c>
      <c r="G32" t="n">
        <v>467.85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6</v>
      </c>
      <c r="D14" t="n">
        <v>7</v>
      </c>
      <c r="E14" t="n">
        <v>1</v>
      </c>
      <c r="F14" t="n">
        <v>17</v>
      </c>
      <c r="G14" t="n">
        <v>39.99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10</v>
      </c>
      <c r="D15" t="n">
        <v>30</v>
      </c>
      <c r="E15" t="n">
        <v>2</v>
      </c>
      <c r="F15" t="n">
        <v>20</v>
      </c>
      <c r="G15" t="n">
        <v>79.98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7</v>
      </c>
      <c r="D22" t="n">
        <v>11</v>
      </c>
      <c r="E22" t="n">
        <v>3</v>
      </c>
      <c r="F22" t="n">
        <v>43</v>
      </c>
      <c r="G22" t="n">
        <v>119.94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4</v>
      </c>
      <c r="D23" t="n">
        <v>6</v>
      </c>
      <c r="E23" t="n">
        <v>1</v>
      </c>
      <c r="F23" t="n">
        <v>25</v>
      </c>
      <c r="G23" t="n">
        <v>39.99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4</v>
      </c>
      <c r="D24" t="n">
        <v>5</v>
      </c>
      <c r="E24" t="n">
        <v>1</v>
      </c>
      <c r="F24" t="n">
        <v>25</v>
      </c>
      <c r="G24" t="n">
        <v>39.99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999</v>
      </c>
      <c r="I25" t="n">
        <v>0.45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2</v>
      </c>
      <c r="D26" t="n">
        <v>2</v>
      </c>
      <c r="E26" t="n">
        <v>1</v>
      </c>
      <c r="F26" t="n">
        <v>50</v>
      </c>
      <c r="G26" t="n">
        <v>39.99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5</v>
      </c>
      <c r="D28" t="n">
        <v>10</v>
      </c>
      <c r="E28" t="n">
        <v>2</v>
      </c>
      <c r="F28" t="n">
        <v>40</v>
      </c>
      <c r="G28" t="n">
        <v>79.98</v>
      </c>
      <c r="H28" t="n">
        <v>0</v>
      </c>
      <c r="I28" t="n">
        <v>0.21</v>
      </c>
      <c r="J28" t="n">
        <v>39.99</v>
      </c>
      <c r="K28" t="n">
        <v>50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38</v>
      </c>
      <c r="D32" t="n">
        <v>71</v>
      </c>
      <c r="E32" t="n">
        <v>11</v>
      </c>
      <c r="F32" t="n">
        <v>28.95</v>
      </c>
      <c r="G32" t="n">
        <v>439.86</v>
      </c>
      <c r="H32" t="n">
        <v>0.15</v>
      </c>
      <c r="I32" t="n">
        <v>0.66</v>
      </c>
      <c r="J32" t="n">
        <v>39.99</v>
      </c>
      <c r="K32" t="n">
        <v>9.09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2</v>
      </c>
      <c r="D4" t="n">
        <v>2</v>
      </c>
      <c r="E4" t="n">
        <v>1</v>
      </c>
      <c r="F4" t="n">
        <v>50</v>
      </c>
      <c r="G4" t="n">
        <v>13.99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8</v>
      </c>
      <c r="D5" t="n">
        <v>11</v>
      </c>
      <c r="E5" t="n">
        <v>1</v>
      </c>
      <c r="F5" t="n">
        <v>12</v>
      </c>
      <c r="G5" t="n">
        <v>13.99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9</v>
      </c>
      <c r="D6" t="n">
        <v>10</v>
      </c>
      <c r="E6" t="n">
        <v>4</v>
      </c>
      <c r="F6" t="n">
        <v>44</v>
      </c>
      <c r="G6" t="n">
        <v>55.96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4</v>
      </c>
      <c r="D7" t="n">
        <v>10</v>
      </c>
      <c r="E7" t="n">
        <v>1</v>
      </c>
      <c r="F7" t="n">
        <v>25</v>
      </c>
      <c r="G7" t="n">
        <v>13.99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6</v>
      </c>
      <c r="D10" t="n">
        <v>8</v>
      </c>
      <c r="E10" t="n">
        <v>1</v>
      </c>
      <c r="F10" t="n">
        <v>17</v>
      </c>
      <c r="G10" t="n">
        <v>13.99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10</v>
      </c>
      <c r="D12" t="n">
        <v>11</v>
      </c>
      <c r="E12" t="n">
        <v>2</v>
      </c>
      <c r="F12" t="n">
        <v>20</v>
      </c>
      <c r="G12" t="n">
        <v>27.98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3</v>
      </c>
      <c r="D13" t="n">
        <v>5</v>
      </c>
      <c r="E13" t="n">
        <v>2</v>
      </c>
      <c r="F13" t="n">
        <v>67</v>
      </c>
      <c r="G13" t="n">
        <v>27.98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6</v>
      </c>
      <c r="D14" t="n">
        <v>6</v>
      </c>
      <c r="E14" t="n">
        <v>2</v>
      </c>
      <c r="F14" t="n">
        <v>33</v>
      </c>
      <c r="G14" t="n">
        <v>27.98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8</v>
      </c>
      <c r="D15" t="n">
        <v>11</v>
      </c>
      <c r="E15" t="n">
        <v>1</v>
      </c>
      <c r="F15" t="n">
        <v>12</v>
      </c>
      <c r="G15" t="n">
        <v>13.99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13</v>
      </c>
      <c r="D16" t="n">
        <v>20</v>
      </c>
      <c r="E16" t="n">
        <v>1</v>
      </c>
      <c r="F16" t="n">
        <v>8</v>
      </c>
      <c r="G16" t="n">
        <v>13.99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7</v>
      </c>
      <c r="D17" t="n">
        <v>10</v>
      </c>
      <c r="E17" t="n">
        <v>2</v>
      </c>
      <c r="F17" t="n">
        <v>29</v>
      </c>
      <c r="G17" t="n">
        <v>27.98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11</v>
      </c>
      <c r="D20" t="n">
        <v>14</v>
      </c>
      <c r="E20" t="n">
        <v>1</v>
      </c>
      <c r="F20" t="n">
        <v>9</v>
      </c>
      <c r="G20" t="n">
        <v>13.99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8</v>
      </c>
      <c r="D23" t="n">
        <v>16</v>
      </c>
      <c r="E23" t="n">
        <v>1</v>
      </c>
      <c r="F23" t="n">
        <v>12</v>
      </c>
      <c r="G23" t="n">
        <v>13.99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8</v>
      </c>
      <c r="D24" t="n">
        <v>9</v>
      </c>
      <c r="E24" t="n">
        <v>1</v>
      </c>
      <c r="F24" t="n">
        <v>12</v>
      </c>
      <c r="G24" t="n">
        <v>13.97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6</v>
      </c>
      <c r="D26" t="n">
        <v>9</v>
      </c>
      <c r="E26" t="n">
        <v>1</v>
      </c>
      <c r="F26" t="n">
        <v>17</v>
      </c>
      <c r="G26" t="n">
        <v>13.99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7</v>
      </c>
      <c r="D28" t="n">
        <v>10</v>
      </c>
      <c r="E28" t="n">
        <v>1</v>
      </c>
      <c r="F28" t="n">
        <v>14</v>
      </c>
      <c r="G28" t="n">
        <v>13.99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5</v>
      </c>
      <c r="D29" t="n">
        <v>5</v>
      </c>
      <c r="E29" t="n">
        <v>1</v>
      </c>
      <c r="F29" t="n">
        <v>20</v>
      </c>
      <c r="G29" t="n">
        <v>13.99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121</v>
      </c>
      <c r="D32" t="n">
        <v>167</v>
      </c>
      <c r="E32" t="n">
        <v>24</v>
      </c>
      <c r="F32" t="n">
        <v>19.83</v>
      </c>
      <c r="G32" t="n">
        <v>335.74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6</v>
      </c>
      <c r="D17" t="n">
        <v>11</v>
      </c>
      <c r="E17" t="n">
        <v>1</v>
      </c>
      <c r="F17" t="n">
        <v>17</v>
      </c>
      <c r="G17" t="n">
        <v>39.99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1</v>
      </c>
      <c r="D20" t="n">
        <v>4</v>
      </c>
      <c r="E20" t="n">
        <v>1</v>
      </c>
      <c r="F20" t="n">
        <v>100</v>
      </c>
      <c r="G20" t="n">
        <v>39.99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6</v>
      </c>
      <c r="D27" t="n">
        <v>8</v>
      </c>
      <c r="E27" t="n">
        <v>1</v>
      </c>
      <c r="F27" t="n">
        <v>17</v>
      </c>
      <c r="G27" t="n">
        <v>39.99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999</v>
      </c>
      <c r="I28" t="n">
        <v>0.45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5</v>
      </c>
      <c r="D29" t="n">
        <v>5</v>
      </c>
      <c r="E29" t="n">
        <v>1</v>
      </c>
      <c r="F29" t="n">
        <v>20</v>
      </c>
      <c r="G29" t="n">
        <v>39.99</v>
      </c>
      <c r="H29" t="n">
        <v>1</v>
      </c>
      <c r="I29" t="n">
        <v>0.45</v>
      </c>
      <c r="J29" t="n">
        <v>39.99</v>
      </c>
      <c r="K29" t="n">
        <v>100</v>
      </c>
    </row>
    <row r="30">
      <c r="A30" t="n">
        <v>28</v>
      </c>
      <c r="B30" t="inlineStr">
        <is>
          <t>04-29</t>
        </is>
      </c>
      <c r="C30" t="n">
        <v>5</v>
      </c>
      <c r="D30" t="n">
        <v>8</v>
      </c>
      <c r="E30" t="n">
        <v>1</v>
      </c>
      <c r="F30" t="n">
        <v>20</v>
      </c>
      <c r="G30" t="n">
        <v>39.99</v>
      </c>
      <c r="H30" t="n">
        <v>2</v>
      </c>
      <c r="I30" t="n">
        <v>0.9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6</v>
      </c>
      <c r="D31" t="n">
        <v>7</v>
      </c>
      <c r="E31" t="n">
        <v>1</v>
      </c>
      <c r="F31" t="n">
        <v>17</v>
      </c>
      <c r="G31" t="n">
        <v>39.99</v>
      </c>
      <c r="H31" t="n">
        <v>2</v>
      </c>
      <c r="I31" t="n">
        <v>0.9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29</v>
      </c>
      <c r="D32" t="n">
        <v>43</v>
      </c>
      <c r="E32" t="n">
        <v>6</v>
      </c>
      <c r="F32" t="n">
        <v>20.69</v>
      </c>
      <c r="G32" t="n">
        <v>239.94</v>
      </c>
      <c r="H32" t="n">
        <v>1.13</v>
      </c>
      <c r="I32" t="n">
        <v>2.7</v>
      </c>
      <c r="J32" t="n">
        <v>39.99</v>
      </c>
      <c r="K32" t="n">
        <v>16.67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8</v>
      </c>
      <c r="D9" t="n">
        <v>15</v>
      </c>
      <c r="E9" t="n">
        <v>1</v>
      </c>
      <c r="F9" t="n">
        <v>12</v>
      </c>
      <c r="G9" t="n">
        <v>35.99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7</v>
      </c>
      <c r="D11" t="n">
        <v>11</v>
      </c>
      <c r="E11" t="n">
        <v>2</v>
      </c>
      <c r="F11" t="n">
        <v>29</v>
      </c>
      <c r="G11" t="n">
        <v>71.98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4</v>
      </c>
      <c r="D12" t="n">
        <v>6</v>
      </c>
      <c r="E12" t="n">
        <v>1</v>
      </c>
      <c r="F12" t="n">
        <v>25</v>
      </c>
      <c r="G12" t="n">
        <v>35.99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8</v>
      </c>
      <c r="D15" t="n">
        <v>20</v>
      </c>
      <c r="E15" t="n">
        <v>1</v>
      </c>
      <c r="F15" t="n">
        <v>12</v>
      </c>
      <c r="G15" t="n">
        <v>35.99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5</v>
      </c>
      <c r="D19" t="n">
        <v>5</v>
      </c>
      <c r="E19" t="n">
        <v>1</v>
      </c>
      <c r="F19" t="n">
        <v>20</v>
      </c>
      <c r="G19" t="n">
        <v>35.99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999</v>
      </c>
      <c r="I20" t="n">
        <v>0.44</v>
      </c>
      <c r="J20" t="n">
        <v>35.99</v>
      </c>
      <c r="K20" t="n">
        <v>999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999</v>
      </c>
      <c r="I21" t="n">
        <v>0.95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999</v>
      </c>
      <c r="I22" t="n">
        <v>0.53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999</v>
      </c>
      <c r="I23" t="n">
        <v>0.49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999</v>
      </c>
      <c r="I24" t="n">
        <v>2.28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999</v>
      </c>
      <c r="I25" t="n">
        <v>2.05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999</v>
      </c>
      <c r="I26" t="n">
        <v>3.07</v>
      </c>
      <c r="J26" t="n">
        <v>75.98</v>
      </c>
      <c r="K26" t="n">
        <v>999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999</v>
      </c>
      <c r="I27" t="n">
        <v>3.4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999</v>
      </c>
      <c r="I28" t="n">
        <v>2.17</v>
      </c>
      <c r="J28" t="n">
        <v>39.99</v>
      </c>
      <c r="K28" t="n">
        <v>999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999</v>
      </c>
      <c r="I29" t="n">
        <v>1.6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999</v>
      </c>
      <c r="I30" t="n">
        <v>4.03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999</v>
      </c>
      <c r="I31" t="n">
        <v>1.07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32</v>
      </c>
      <c r="D32" t="n">
        <v>57</v>
      </c>
      <c r="E32" t="n">
        <v>6</v>
      </c>
      <c r="F32" t="n">
        <v>18.75</v>
      </c>
      <c r="G32" t="n">
        <v>215.94</v>
      </c>
      <c r="H32" t="n">
        <v>10.23</v>
      </c>
      <c r="I32" t="n">
        <v>22.08</v>
      </c>
      <c r="J32" t="n">
        <v>151.96</v>
      </c>
      <c r="K32" t="n">
        <v>70.37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9</v>
      </c>
      <c r="D11" t="n">
        <v>13</v>
      </c>
      <c r="E11" t="n">
        <v>1</v>
      </c>
      <c r="F11" t="n">
        <v>11</v>
      </c>
      <c r="G11" t="n">
        <v>25.98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13</v>
      </c>
      <c r="D14" t="n">
        <v>19</v>
      </c>
      <c r="E14" t="n">
        <v>1</v>
      </c>
      <c r="F14" t="n">
        <v>8</v>
      </c>
      <c r="G14" t="n">
        <v>25.98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4</v>
      </c>
      <c r="D17" t="n">
        <v>7</v>
      </c>
      <c r="E17" t="n">
        <v>1</v>
      </c>
      <c r="F17" t="n">
        <v>25</v>
      </c>
      <c r="G17" t="n">
        <v>25.98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1</v>
      </c>
      <c r="D22" t="n">
        <v>2</v>
      </c>
      <c r="E22" t="n">
        <v>1</v>
      </c>
      <c r="F22" t="n">
        <v>100</v>
      </c>
      <c r="G22" t="n">
        <v>25.98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5</v>
      </c>
      <c r="D24" t="n">
        <v>6</v>
      </c>
      <c r="E24" t="n">
        <v>1</v>
      </c>
      <c r="F24" t="n">
        <v>20</v>
      </c>
      <c r="G24" t="n">
        <v>25.98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6</v>
      </c>
      <c r="D30" t="n">
        <v>6</v>
      </c>
      <c r="E30" t="n">
        <v>1</v>
      </c>
      <c r="F30" t="n">
        <v>17</v>
      </c>
      <c r="G30" t="n">
        <v>25.98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38</v>
      </c>
      <c r="D32" t="n">
        <v>53</v>
      </c>
      <c r="E32" t="n">
        <v>6</v>
      </c>
      <c r="F32" t="n">
        <v>15.79</v>
      </c>
      <c r="G32" t="n">
        <v>155.88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3</v>
      </c>
      <c r="D8" t="n">
        <v>3</v>
      </c>
      <c r="E8" t="n">
        <v>1</v>
      </c>
      <c r="F8" t="n">
        <v>33</v>
      </c>
      <c r="G8" t="n">
        <v>35.99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4</v>
      </c>
      <c r="D10" t="n">
        <v>6</v>
      </c>
      <c r="E10" t="n">
        <v>1</v>
      </c>
      <c r="F10" t="n">
        <v>25</v>
      </c>
      <c r="G10" t="n">
        <v>35.99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4</v>
      </c>
      <c r="D14" t="n">
        <v>4</v>
      </c>
      <c r="E14" t="n">
        <v>1</v>
      </c>
      <c r="F14" t="n">
        <v>25</v>
      </c>
      <c r="G14" t="n">
        <v>35.99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5</v>
      </c>
      <c r="D19" t="n">
        <v>10</v>
      </c>
      <c r="E19" t="n">
        <v>1</v>
      </c>
      <c r="F19" t="n">
        <v>20</v>
      </c>
      <c r="G19" t="n">
        <v>35.99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16</v>
      </c>
      <c r="D32" t="n">
        <v>23</v>
      </c>
      <c r="E32" t="n">
        <v>4</v>
      </c>
      <c r="F32" t="n">
        <v>25</v>
      </c>
      <c r="G32" t="n">
        <v>143.96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3</v>
      </c>
      <c r="D16" t="n">
        <v>5</v>
      </c>
      <c r="E16" t="n">
        <v>1</v>
      </c>
      <c r="F16" t="n">
        <v>33</v>
      </c>
      <c r="G16" t="n">
        <v>18.99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3</v>
      </c>
      <c r="D18" t="n">
        <v>3</v>
      </c>
      <c r="E18" t="n">
        <v>1</v>
      </c>
      <c r="F18" t="n">
        <v>33</v>
      </c>
      <c r="G18" t="n">
        <v>18.99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2</v>
      </c>
      <c r="D22" t="n">
        <v>4</v>
      </c>
      <c r="E22" t="n">
        <v>1</v>
      </c>
      <c r="F22" t="n">
        <v>50</v>
      </c>
      <c r="G22" t="n">
        <v>18.99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3</v>
      </c>
      <c r="D25" t="n">
        <v>3</v>
      </c>
      <c r="E25" t="n">
        <v>1</v>
      </c>
      <c r="F25" t="n">
        <v>33</v>
      </c>
      <c r="G25" t="n">
        <v>18.99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3</v>
      </c>
      <c r="D28" t="n">
        <v>5</v>
      </c>
      <c r="E28" t="n">
        <v>1</v>
      </c>
      <c r="F28" t="n">
        <v>33</v>
      </c>
      <c r="G28" t="n">
        <v>18.99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1</v>
      </c>
      <c r="D31" t="n">
        <v>1</v>
      </c>
      <c r="E31" t="n">
        <v>1</v>
      </c>
      <c r="F31" t="n">
        <v>100</v>
      </c>
      <c r="G31" t="n">
        <v>18.99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15</v>
      </c>
      <c r="D32" t="n">
        <v>21</v>
      </c>
      <c r="E32" t="n">
        <v>6</v>
      </c>
      <c r="F32" t="n">
        <v>40</v>
      </c>
      <c r="G32" t="n">
        <v>113.94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5</v>
      </c>
      <c r="D9" t="n">
        <v>5</v>
      </c>
      <c r="E9" t="n">
        <v>1</v>
      </c>
      <c r="F9" t="n">
        <v>20</v>
      </c>
      <c r="G9" t="n">
        <v>35.99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5</v>
      </c>
      <c r="D20" t="n">
        <v>7</v>
      </c>
      <c r="E20" t="n">
        <v>1</v>
      </c>
      <c r="F20" t="n">
        <v>20</v>
      </c>
      <c r="G20" t="n">
        <v>35.99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7</v>
      </c>
      <c r="D26" t="n">
        <v>16</v>
      </c>
      <c r="E26" t="n">
        <v>1</v>
      </c>
      <c r="F26" t="n">
        <v>14</v>
      </c>
      <c r="G26" t="n">
        <v>35.99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17</v>
      </c>
      <c r="D32" t="n">
        <v>28</v>
      </c>
      <c r="E32" t="n">
        <v>3</v>
      </c>
      <c r="F32" t="n">
        <v>17.65</v>
      </c>
      <c r="G32" t="n">
        <v>107.97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2</v>
      </c>
      <c r="D30" t="n">
        <v>2</v>
      </c>
      <c r="E30" t="n">
        <v>1</v>
      </c>
      <c r="F30" t="n">
        <v>50</v>
      </c>
      <c r="G30" t="n">
        <v>35.99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2</v>
      </c>
      <c r="D31" t="n">
        <v>5</v>
      </c>
      <c r="E31" t="n">
        <v>1</v>
      </c>
      <c r="F31" t="n">
        <v>50</v>
      </c>
      <c r="G31" t="n">
        <v>35.99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4</v>
      </c>
      <c r="D32" t="n">
        <v>7</v>
      </c>
      <c r="E32" t="n">
        <v>2</v>
      </c>
      <c r="F32" t="n">
        <v>50</v>
      </c>
      <c r="G32" t="n">
        <v>71.98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1</v>
      </c>
      <c r="D16" t="n">
        <v>3</v>
      </c>
      <c r="E16" t="n">
        <v>1</v>
      </c>
      <c r="F16" t="n">
        <v>100</v>
      </c>
      <c r="G16" t="n">
        <v>33.99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5</v>
      </c>
      <c r="D28" t="n">
        <v>9</v>
      </c>
      <c r="E28" t="n">
        <v>1</v>
      </c>
      <c r="F28" t="n">
        <v>20</v>
      </c>
      <c r="G28" t="n">
        <v>33.99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6</v>
      </c>
      <c r="D32" t="n">
        <v>12</v>
      </c>
      <c r="E32" t="n">
        <v>2</v>
      </c>
      <c r="F32" t="n">
        <v>33.33</v>
      </c>
      <c r="G32" t="n">
        <v>67.98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2</v>
      </c>
      <c r="D26" t="n">
        <v>3</v>
      </c>
      <c r="E26" t="n">
        <v>1</v>
      </c>
      <c r="F26" t="n">
        <v>50</v>
      </c>
      <c r="G26" t="n">
        <v>55.98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2</v>
      </c>
      <c r="D32" t="n">
        <v>3</v>
      </c>
      <c r="E32" t="n">
        <v>1</v>
      </c>
      <c r="F32" t="n">
        <v>50</v>
      </c>
      <c r="G32" t="n">
        <v>55.98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2</v>
      </c>
      <c r="D3" t="n">
        <v>6</v>
      </c>
      <c r="E3" t="n">
        <v>1</v>
      </c>
      <c r="F3" t="n">
        <v>50</v>
      </c>
      <c r="G3" t="n">
        <v>49.99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2</v>
      </c>
      <c r="D32" t="n">
        <v>6</v>
      </c>
      <c r="E32" t="n">
        <v>1</v>
      </c>
      <c r="F32" t="n">
        <v>50</v>
      </c>
      <c r="G32" t="n">
        <v>49.99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3</v>
      </c>
      <c r="D29" t="n">
        <v>4</v>
      </c>
      <c r="E29" t="n">
        <v>1</v>
      </c>
      <c r="F29" t="n">
        <v>33</v>
      </c>
      <c r="G29" t="n">
        <v>32.04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3</v>
      </c>
      <c r="D32" t="n">
        <v>4</v>
      </c>
      <c r="E32" t="n">
        <v>1</v>
      </c>
      <c r="F32" t="n">
        <v>33.33</v>
      </c>
      <c r="G32" t="n">
        <v>32.04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ColWidth="9" defaultRowHeight="12.9"/>
  <sheetData>
    <row r="1">
      <c r="A1" s="2" t="inlineStr">
        <is>
          <t>Unnamed: 0</t>
        </is>
      </c>
      <c r="B1" s="2" t="inlineStr">
        <is>
          <t>日期</t>
        </is>
      </c>
      <c r="C1" s="2" t="inlineStr">
        <is>
          <t>Sessions</t>
        </is>
      </c>
      <c r="D1" s="2" t="inlineStr">
        <is>
          <t>Page Views</t>
        </is>
      </c>
      <c r="E1" s="2" t="inlineStr">
        <is>
          <t>Units Ordered</t>
        </is>
      </c>
      <c r="F1" s="2" t="inlineStr">
        <is>
          <t>Unit Session Percentage(%)</t>
        </is>
      </c>
      <c r="G1" s="2" t="inlineStr">
        <is>
          <t>Ordered Product Sales(对应国家货币单位)</t>
        </is>
      </c>
      <c r="H1" s="2" t="inlineStr">
        <is>
          <t>Total-acos(%)</t>
        </is>
      </c>
      <c r="I1" s="2" t="inlineStr">
        <is>
          <t>AD-Total-Spend(计算国货币单位)</t>
        </is>
      </c>
      <c r="J1" s="2" t="inlineStr">
        <is>
          <t>AD-Total-Sale(计算国货币单位)</t>
        </is>
      </c>
      <c r="K1" s="2" t="inlineStr">
        <is>
          <t>广告销售占比(%)</t>
        </is>
      </c>
    </row>
    <row r="2">
      <c r="A2" t="n">
        <v>0</v>
      </c>
      <c r="B2" t="inlineStr">
        <is>
          <t>04-01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04-02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inlineStr">
        <is>
          <t>04-03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inlineStr">
        <is>
          <t>04-04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inlineStr">
        <is>
          <t>04-05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inlineStr">
        <is>
          <t>04-06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inlineStr">
        <is>
          <t>04-07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inlineStr">
        <is>
          <t>04-08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inlineStr">
        <is>
          <t>04-09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inlineStr">
        <is>
          <t>04-11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04-12</t>
        </is>
      </c>
      <c r="C13" t="n">
        <v>1</v>
      </c>
      <c r="D13" t="n">
        <v>3</v>
      </c>
      <c r="E13" t="n">
        <v>1</v>
      </c>
      <c r="F13" t="n">
        <v>100</v>
      </c>
      <c r="G13" t="n">
        <v>28.99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inlineStr">
        <is>
          <t>04-13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04-14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inlineStr">
        <is>
          <t>04-15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04-16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04-17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04-18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04-19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inlineStr">
        <is>
          <t>04-20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04-21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04-22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04-23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04-24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04-25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04-26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04-27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04-28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04-29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04-30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总计</t>
        </is>
      </c>
      <c r="C32" t="n">
        <v>1</v>
      </c>
      <c r="D32" t="n">
        <v>3</v>
      </c>
      <c r="E32" t="n">
        <v>1</v>
      </c>
      <c r="F32" t="n">
        <v>100</v>
      </c>
      <c r="G32" t="n">
        <v>28.99</v>
      </c>
      <c r="H32" t="n">
        <v>0</v>
      </c>
      <c r="I32" t="n">
        <v>0</v>
      </c>
      <c r="J32" t="n">
        <v>0</v>
      </c>
      <c r="K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2026-05-06T06:28:00Z</dcterms:created>
  <dcterms:modified xsi:type="dcterms:W3CDTF">2026-05-18T13:59:43Z</dcterms:modified>
  <cp:lastModifiedBy>xyz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45968EF474464E438E9F39DABC2C5BA5_12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